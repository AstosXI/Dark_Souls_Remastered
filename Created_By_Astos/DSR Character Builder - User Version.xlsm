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sognibene\Desktop\dsr\"/>
    </mc:Choice>
  </mc:AlternateContent>
  <xr:revisionPtr revIDLastSave="0" documentId="13_ncr:1_{65477B75-A051-4950-8276-35B803046EB3}" xr6:coauthVersionLast="47" xr6:coauthVersionMax="47" xr10:uidLastSave="{00000000-0000-0000-0000-000000000000}"/>
  <bookViews>
    <workbookView xWindow="-120" yWindow="-120" windowWidth="29040" windowHeight="15840" firstSheet="1" activeTab="1" xr2:uid="{00000000-000D-0000-FFFF-FFFF00000000}"/>
  </bookViews>
  <sheets>
    <sheet name="Wep Upgrades" sheetId="95" r:id="rId1"/>
    <sheet name="Character Builder" sheetId="103" r:id="rId2"/>
    <sheet name="Notes" sheetId="110" r:id="rId3"/>
    <sheet name="Armor Helper" sheetId="109" state="hidden" r:id="rId4"/>
    <sheet name="Weapon Calculator" sheetId="105" state="hidden" r:id="rId5"/>
    <sheet name="Armors" sheetId="107" state="hidden" r:id="rId6"/>
    <sheet name="Accessories" sheetId="102" state="hidden" r:id="rId7"/>
    <sheet name="Classes" sheetId="97" state="hidden" r:id="rId8"/>
  </sheets>
  <definedNames>
    <definedName name="_xlnm._FilterDatabase" localSheetId="6" hidden="1">Accessories!$A$1:$AE$36</definedName>
    <definedName name="_xlnm._FilterDatabase" localSheetId="5" hidden="1">Armors!$A$1:$X$223</definedName>
    <definedName name="_xlnm._FilterDatabase" localSheetId="7" hidden="1">Classes!$A$1:$J$1</definedName>
    <definedName name="_xlnm._FilterDatabase" localSheetId="4" hidden="1">'Weapon Calculator'!$A$1:$H$185</definedName>
    <definedName name="_xlnm._FilterDatabase" localSheetId="0" hidden="1">'Wep Upgrades'!$A$1:$AG$38</definedName>
    <definedName name="Armor_Body">_xlfn.ANCHORARRAY('Armor Helper'!$C$2)</definedName>
    <definedName name="Armor_Hands">_xlfn.ANCHORARRAY('Armor Helper'!$D$2)</definedName>
    <definedName name="Armor_Head">_xlfn.ANCHORARRAY('Armor Helper'!$A$2)</definedName>
    <definedName name="Armor_Legs">_xlfn.ANCHORARRAY('Armor Helper'!$B$2)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103" l="1"/>
  <c r="J9" i="103"/>
  <c r="J10" i="103"/>
  <c r="J7" i="103"/>
  <c r="C3" i="103"/>
  <c r="G3" i="103"/>
  <c r="I7" i="103"/>
  <c r="I8" i="103"/>
  <c r="J13" i="103"/>
  <c r="J14" i="103"/>
  <c r="J15" i="103"/>
  <c r="J12" i="103"/>
  <c r="I13" i="103"/>
  <c r="I14" i="103"/>
  <c r="I15" i="103"/>
  <c r="I12" i="103"/>
  <c r="H13" i="103"/>
  <c r="H14" i="103"/>
  <c r="H15" i="103"/>
  <c r="H12" i="103"/>
  <c r="I9" i="103"/>
  <c r="I10" i="103"/>
  <c r="H8" i="103"/>
  <c r="H9" i="103"/>
  <c r="H10" i="103"/>
  <c r="H7" i="103"/>
  <c r="D2" i="109" a="1"/>
  <c r="D2" i="109" s="1"/>
  <c r="C2" i="109" a="1"/>
  <c r="C2" i="109" s="1"/>
  <c r="B2" i="109" a="1"/>
  <c r="B2" i="109" s="1"/>
  <c r="A2" i="109" a="1"/>
  <c r="A2" i="109" s="1"/>
  <c r="K3" i="103" l="1"/>
  <c r="J3" i="103"/>
  <c r="F3" i="103"/>
  <c r="H3" i="103" s="1"/>
  <c r="I3" i="10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1" authorId="0" shapeId="0" xr:uid="{CF0ABB70-81ED-4968-B37D-E2318021BFE5}">
      <text>
        <r>
          <rPr>
            <sz val="10"/>
            <color rgb="FF000000"/>
            <rFont val="Arial"/>
            <family val="2"/>
          </rPr>
          <t>multiplier on weapon/shield's physical damage. Final stats are assumedly rounded down.
	-Gino Rakk</t>
        </r>
      </text>
    </comment>
    <comment ref="L1" authorId="0" shapeId="0" xr:uid="{157CE0C3-7AC5-43F6-858C-69B0F07C8A5F}">
      <text>
        <r>
          <rPr>
            <sz val="10"/>
            <color rgb="FF000000"/>
            <rFont val="Arial"/>
            <family val="2"/>
          </rPr>
          <t>scaling multipliers
	-Gino Rakk</t>
        </r>
      </text>
    </comment>
    <comment ref="X1" authorId="0" shapeId="0" xr:uid="{1CF00408-0D2B-49A6-AAFD-12FA3ACADCC7}">
      <text>
        <r>
          <rPr>
            <sz val="10"/>
            <color rgb="FF000000"/>
            <rFont val="Arial"/>
            <family val="2"/>
          </rPr>
          <t>stability
	-king bore haha</t>
        </r>
      </text>
    </comment>
    <comment ref="Y1" authorId="0" shapeId="0" xr:uid="{A634D6A1-FC23-45BC-86EA-0E7CBA8EAB3C}">
      <text>
        <r>
          <rPr>
            <sz val="10"/>
            <color rgb="FF000000"/>
            <rFont val="Arial"/>
            <family val="2"/>
          </rPr>
          <t>Does not seem to add Special Effects.
	-Veryspooky Skellingtonson</t>
        </r>
      </text>
    </comment>
    <comment ref="AB1" authorId="0" shapeId="0" xr:uid="{12EA1F27-3B2C-4548-A2E8-8468C2F12613}">
      <text>
        <r>
          <rPr>
            <sz val="10"/>
            <color rgb="FF000000"/>
            <rFont val="Arial"/>
            <family val="2"/>
          </rPr>
          <t>Does not seem to add Special Effects.
	-Veryspooky Skellingtonson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85A412D3-8557-4492-BECC-92308406DE15}">
      <text>
        <r>
          <rPr>
            <sz val="10"/>
            <color rgb="FF000000"/>
            <rFont val="Arial"/>
            <family val="2"/>
          </rPr>
          <t>m12_01_00_00 is .msb map id
	-Desmond Brown
----
m11_00_00_00 is .msb map id
	-Desmond Brown
----
Demonic Foliage [Darkroot?]
	-Copper Banana
----
Dark Sun Gwyndolin
	-Lord Of Sandvich</t>
        </r>
      </text>
    </comment>
    <comment ref="D43" authorId="0" shapeId="0" xr:uid="{1DBCF52F-E5B5-411F-8FA4-D8444F731128}">
      <text>
        <r>
          <rPr>
            <sz val="10"/>
            <color rgb="FF000000"/>
            <rFont val="Arial"/>
            <family val="2"/>
          </rPr>
          <t>Receive double damage
	-Thomas Stevens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<sst xmlns="http://schemas.openxmlformats.org/spreadsheetml/2006/main" count="2051" uniqueCount="1134">
  <si>
    <t>Id</t>
  </si>
  <si>
    <t>English name</t>
  </si>
  <si>
    <t>Effect description</t>
  </si>
  <si>
    <t>Ref Id</t>
  </si>
  <si>
    <t>Sfx Variation Id</t>
  </si>
  <si>
    <t>Weight [kg]</t>
  </si>
  <si>
    <t>Behavior Id</t>
  </si>
  <si>
    <t>Basic Price</t>
  </si>
  <si>
    <t>Sell Value</t>
  </si>
  <si>
    <t>Sort Id</t>
  </si>
  <si>
    <t>qwcId</t>
  </si>
  <si>
    <t>equipModelId</t>
  </si>
  <si>
    <t>iconId</t>
  </si>
  <si>
    <t>shopLv</t>
  </si>
  <si>
    <t>trophySGradeId</t>
  </si>
  <si>
    <t>trophySeqId</t>
  </si>
  <si>
    <t>equipModelCategory</t>
  </si>
  <si>
    <t>equipModelGender</t>
  </si>
  <si>
    <t>accessoryCategory</t>
  </si>
  <si>
    <t>refCategory</t>
  </si>
  <si>
    <t>spEffectCategory</t>
  </si>
  <si>
    <t>Vagrant Item Id</t>
  </si>
  <si>
    <t>vagrantBonusEneDropItemLotId</t>
  </si>
  <si>
    <t>vagrantItemEneDropItemLotId</t>
  </si>
  <si>
    <t>Can be Deposited</t>
  </si>
  <si>
    <t>Broken when removed</t>
  </si>
  <si>
    <t>disableMultiDropShare</t>
  </si>
  <si>
    <t>Japanese name</t>
  </si>
  <si>
    <t>Name</t>
  </si>
  <si>
    <t>English Description</t>
  </si>
  <si>
    <t>Havel's Ring</t>
  </si>
  <si>
    <t>Boosts maximum equipment load</t>
  </si>
  <si>
    <t>装備重量アップ</t>
  </si>
  <si>
    <t>Equipment weight up</t>
  </si>
  <si>
    <t>This ring was named after Havel the Rock,\nLord Gwyn's old battlefield compatriot.\n\nHavel's men wore the ring to express faith in\ntheir leader and to carry a heavier load.</t>
  </si>
  <si>
    <t>Red Tearstone Ring</t>
  </si>
  <si>
    <t>Boosts ATK while HP is low</t>
  </si>
  <si>
    <t>ピンチ攻撃力アップ</t>
  </si>
  <si>
    <t>Pinch attack power up</t>
  </si>
  <si>
    <t>The rare gem called tearstone has the\nuncanny ability to sense imminent death.\n\nThis red tearstone from Carim boosts the\nattack of its wearer when in danger.</t>
  </si>
  <si>
    <t>Darkmoon Blade Covenant Ring</t>
  </si>
  <si>
    <t>Answer Dark Sun Gwyndolin's summoning</t>
  </si>
  <si>
    <t>暗月神の指輪</t>
  </si>
  <si>
    <t>Ring Kuratsuki God</t>
  </si>
  <si>
    <t>Ring granted to those bound by the\nDarkmoon Blade covenant.\nAnswer Dark Sun Gwyndolin's summoning.\n\nGwyndolin, all too aware of his repulsive,\nfrail appearance, created the illusion of \na sister Gwynevere, who helps him guard\nover Anor Londo. An unmasking of these\ndeities would be tantamount to blasphemy.</t>
  </si>
  <si>
    <t>Cat Covenant Ring</t>
  </si>
  <si>
    <t>Answer Alvina's summoning</t>
  </si>
  <si>
    <t>盗賊団の指輪</t>
  </si>
  <si>
    <t>Ring of bandits</t>
  </si>
  <si>
    <t>Ring granted to those bound by the\nForest Hunter covenant.\nAnswer Alvina's summoning.\n\nThe white cat Alvina speaks a human tongue\nand has lived since the early Age of Fire.\nAlvina was a trusted friend of Knight\nArtorias and the Great Wolf Sif.</t>
  </si>
  <si>
    <t>Cloranthy Ring</t>
  </si>
  <si>
    <t>Boosts stamina recovery speed</t>
  </si>
  <si>
    <t>スタミナ回復アップ</t>
  </si>
  <si>
    <t>Stamina recovery up</t>
  </si>
  <si>
    <t>This ancient ring, engraved with a large\ngreen flower, is of unknown origin.\n\nHastens the regeneration of stamina.</t>
  </si>
  <si>
    <t>Flame Stoneplate Ring</t>
  </si>
  <si>
    <t>Boosts fire DEF</t>
  </si>
  <si>
    <t>炎耐性アップ</t>
  </si>
  <si>
    <t>Flame-resistant up</t>
  </si>
  <si>
    <t>Stoneplates, the symbol of a true knight,\ngrant the strength to face various hardships.\n\nThe red stoneplate symbolizes fire,\nand boosts defence against flame.</t>
  </si>
  <si>
    <t>Thunder Stoneplate Ring</t>
  </si>
  <si>
    <t>Boosts lightning DEF</t>
  </si>
  <si>
    <t>雷耐性アップ</t>
  </si>
  <si>
    <t>Thunder Res Up</t>
  </si>
  <si>
    <t>Stoneplates, the symbol of a true knight,\ngrant the strength to face various hardships.\n\nThe yellow stoneplate symbolizes thunder,\nand boosts defence against lightning.</t>
  </si>
  <si>
    <t>Spell Stoneplate Ring</t>
  </si>
  <si>
    <t>Boosts magic DEF</t>
  </si>
  <si>
    <t>魔法耐性アップ</t>
  </si>
  <si>
    <t>Magic-resistant up</t>
  </si>
  <si>
    <t>Stoneplates, the symbol of a true knight,\ngrant the strength to face various hardships.\n\nThe blue stoneplate symbolizes souls,\nand boosts defence against magic.</t>
  </si>
  <si>
    <t>Speckled Stoneplate Ring</t>
  </si>
  <si>
    <t>Slight boost for magic, fire, lightning DEF</t>
  </si>
  <si>
    <t>全耐性アップ1</t>
  </si>
  <si>
    <t>All Resistances up 1</t>
  </si>
  <si>
    <t>Stoneplates, the symbol of a true knight,\ngrant the strength to face various hardships.\n\nThe precious rare speckled stoneplate grants\na small boost to defence against magic,\nflame, and lightning.</t>
  </si>
  <si>
    <t>Bloodbite Ring</t>
  </si>
  <si>
    <t>Boosts bleeding resistance</t>
  </si>
  <si>
    <t>出血耐性アップ</t>
  </si>
  <si>
    <t>Bleeding-resistant up</t>
  </si>
  <si>
    <t>One of the infamous bite rings\ncommissioned by Sir Arstor of Carim.\n\nDespite the dreadful rumors surrounding its\ncreation, this ring is an unmistakable asset,\nin its ability to help prevent bleeding.</t>
  </si>
  <si>
    <t>Poisonbite Ring</t>
  </si>
  <si>
    <t>Boosts poison resistance</t>
  </si>
  <si>
    <t>毒耐性アップ</t>
  </si>
  <si>
    <t>Poison-resistant up</t>
  </si>
  <si>
    <t>One of the infamous bite rings\ncommissioned by Sir Arstor of Carim.\n\nDespite the dreadful rumors surrounding its\ncreation, this ring is an unmistakable asset,\nin its ability to help prevent poison.</t>
  </si>
  <si>
    <t>Tiny Being's Ring</t>
  </si>
  <si>
    <t>Small increase of HP</t>
  </si>
  <si>
    <t>HP微増</t>
  </si>
  <si>
    <t>HP slight increase</t>
  </si>
  <si>
    <t>Ring made of an ancient tiny red jewel.\nGrants small increase to HP.\n\nRings grant powers large and small.\nTheir discovery, and effective use,\ncan make one's journey easier.</t>
  </si>
  <si>
    <t>Cursebite Ring</t>
  </si>
  <si>
    <t>Boosts curse resistance</t>
  </si>
  <si>
    <t>呪耐性アップ</t>
  </si>
  <si>
    <t>Curse resistant up</t>
  </si>
  <si>
    <t>One of the infamous bite rings\ncommissioned by Sir Arstor of Carim.\n\nDespite the dreadful rumors surrounding its\ncreation, this ring is an unmistakable asset,\nin its ability to help prevent curses.</t>
  </si>
  <si>
    <t>White Seance Ring</t>
  </si>
  <si>
    <t>Grants additional attunement slots</t>
  </si>
  <si>
    <t>魔法スロットアップ</t>
  </si>
  <si>
    <t>Magic slot up</t>
  </si>
  <si>
    <t>A divine ring entrusted to the head bishop\nof the Way of White and apostle to\nAllfather Lloyd, uncle to Lord Gwyn.\nIt grants additional attunement slots.\n\nThe head bishop of the Way of White is the\nguardian of law and caste, and one of the\ngreat royals of Thorolund.</t>
  </si>
  <si>
    <t>Bellowing Dragoncrest Ring</t>
  </si>
  <si>
    <t>Boosts sorcery</t>
  </si>
  <si>
    <t>魔法威力アップ</t>
  </si>
  <si>
    <t>Magic power up</t>
  </si>
  <si>
    <t>A special ring granted to only the most\naccomplished sorcerers at Vinheim Dragon\nSchool.\n\nThe ring is engraved with an everlasting\ndragon, and boosts the strength of sorceries.</t>
  </si>
  <si>
    <t>Dusk Crown Ring</t>
  </si>
  <si>
    <t>Grants extra sorcery castings, but halves HP</t>
  </si>
  <si>
    <t>MP偏重</t>
  </si>
  <si>
    <t>MP overemphasis</t>
  </si>
  <si>
    <t>This magic crown-shaped ring was granted\nto princess Dusk of Oolacile upon her birth.\n\nThe ringstone allows its wearer to cast\nadditional sorceries, but at the cost of\none-half of HP.</t>
  </si>
  <si>
    <t>Hornet Ring</t>
  </si>
  <si>
    <t>Boosts critical attacks</t>
  </si>
  <si>
    <t>致命攻撃力アップ</t>
  </si>
  <si>
    <t>Fatal attack power up</t>
  </si>
  <si>
    <t>One of the special rings granted to the four\nknights of Gwyn. The Hornet Ring belonged\nto the Lord's Blade Ciaran.\n\nBy boosting critical attacks, its wearer can\nannihilate foes, as Ciaran's dagger laid\nwaste to Lord Gwyn's enemies.</t>
  </si>
  <si>
    <t>Hawk Ring</t>
  </si>
  <si>
    <t>Extends bow range</t>
  </si>
  <si>
    <t>弓の達人</t>
  </si>
  <si>
    <t>Master of the bow</t>
  </si>
  <si>
    <t>One of the special rings granted to the four\nknights of Gwyn. The Hawk Ring belonged to\nHawkeye Gough, who led the Greatarchers.\n\nBoosts bow range, so that arrows fly like\nthey were shot by Gough's great bow,\nwhich took down high-flying dragons.</t>
  </si>
  <si>
    <t>Ring of Steel Protection</t>
  </si>
  <si>
    <t>Boosts defense vs. physical attacks</t>
  </si>
  <si>
    <t>物理防御力アップ</t>
  </si>
  <si>
    <t>Physical Def up</t>
  </si>
  <si>
    <t>This ring belonged to the Knight King Rendal.\nIt grants its wearer protection by boosting\ndefense against physical attacks.\n\nOf the many legends surrounding the Knight\nKing Rendal, one of the more well-known\nspeaks of his standing down a giant drake\nand slashing it to pieces.</t>
  </si>
  <si>
    <t>Covetous Gold Serpent Ring</t>
  </si>
  <si>
    <t>Boosts item discovery</t>
  </si>
  <si>
    <t>アイテムドロップアップ</t>
  </si>
  <si>
    <t>Dropped up</t>
  </si>
  <si>
    <t>The serpent is an imperfect dragon and symbol\nof the Undead. Its habit of devouring prey\neven larger than itself has led to an\nassociation with gluttony.\n\nThis gold ring, engraved with the serpent,\nboosts its wearer's item discovery, so that\nmore items can be amassed.</t>
  </si>
  <si>
    <t>Covetous Silver Serpent Ring</t>
  </si>
  <si>
    <t>Additional souls absorbed for each kill</t>
  </si>
  <si>
    <t>取得ソウルアップ</t>
  </si>
  <si>
    <t>Get up Seoul</t>
  </si>
  <si>
    <t>The serpent is an imperfect dragon and symbol\nof the Undead. Its habit of devouring prey\neven larger than itself has led to an\nassociation with gluttony.\n\nThis silver ring, engraved with the serpent,\nrewards its wearer with additional souls\nfor each kill.</t>
  </si>
  <si>
    <t>Slumbering Dragoncrest Ring</t>
  </si>
  <si>
    <t>Wearer produces no sound whatsoever</t>
  </si>
  <si>
    <t>音消去</t>
  </si>
  <si>
    <t>Sound cancellation</t>
  </si>
  <si>
    <t>This ring was secretly worn by a certain\nsurreptitious sorcerer at Vinheim Dragon\nSchool.\n\nThe ring is engraved with an everlasting\ndragon in silent slumber, and masks all\nsound emitting from its wearer.</t>
  </si>
  <si>
    <t>Ring of Fog</t>
  </si>
  <si>
    <t>Reduces presence to prevent discovery</t>
  </si>
  <si>
    <t>石コロ帽子</t>
  </si>
  <si>
    <t>Stone roller hat</t>
  </si>
  <si>
    <t>Those who befriend Alvina are given this\nmysterious ring. It resembles a pearl with\nits robust pure-white fog.\n\nThe ring camouflages its wearer's\npresence, helping to prevent detection.</t>
  </si>
  <si>
    <t>Rusted Iron Ring</t>
  </si>
  <si>
    <t>Improves balance on poor footing</t>
  </si>
  <si>
    <t>剛脚</t>
  </si>
  <si>
    <t>Tsuyoshiashi</t>
  </si>
  <si>
    <t>This iron ring was used to shackle the\nguilty. It is terribly rusted, and faintly\nstained with blood.\n\nThose who find this strange ring to their\nliking will be pleased to find it easier to\ngain footing on poor ground such as swamps.</t>
  </si>
  <si>
    <t>Ring of Sacrifice</t>
  </si>
  <si>
    <t>Lose nothing upon death, but ring breaks</t>
  </si>
  <si>
    <t>復活</t>
  </si>
  <si>
    <t>Resurrection</t>
  </si>
  <si>
    <t>This mystical ring was created in a\nsacrificial rite of Velka, the Goddess\nof Sin.\n\nIts wearer will lose nothing upon death,\nbut the ring itself breaks.</t>
  </si>
  <si>
    <t>Rare Ring of Sacrifice</t>
  </si>
  <si>
    <t>Die, lose nothing, nullify curse, ring breaks</t>
  </si>
  <si>
    <t>呪いからの復活</t>
  </si>
  <si>
    <t>Resurrection from curse</t>
  </si>
  <si>
    <t>This mystical ring was created in a\nsacrificial rite of Velka, the Goddess\nof Sin. The magenta-shaded ring is\nespecially rare.\n\nIts wearer will lose nothing upon death,\nand will be freed from any curse whatsoever,\nbut the ring itself breaks.</t>
  </si>
  <si>
    <t>Dark Wood Grain Ring</t>
  </si>
  <si>
    <t>Changes rolling action</t>
  </si>
  <si>
    <t>軽業</t>
  </si>
  <si>
    <t>Acrobatics</t>
  </si>
  <si>
    <t>This special ring crafted in an Eastern land\nis made of gold, but with a wood grain crest\non its surface.\n\nAgents of subterfuge in this faraway land\nare particularly fond of the dark gold wood\ngrain, which greatly alters its wearer's\nrolling action.</t>
  </si>
  <si>
    <t>Ring of the Sun Princess</t>
  </si>
  <si>
    <t>Boosts miracle synergy</t>
  </si>
  <si>
    <t>共鳴</t>
  </si>
  <si>
    <t>Resonance</t>
  </si>
  <si>
    <t>This ring is granted to those who enter a\nCovenant with Gwynevere, daughter of Lord Gwyn\nand the Princess of Sunlight. This slightly\nwarm ring boosts the synergy of miracles.\n\nThe Princess of Sunlight Gwynevere left\nAnor Londo along with many other deities,\nand later became wife to Flame God Flann.</t>
  </si>
  <si>
    <t>Old Witch's Ring</t>
  </si>
  <si>
    <t>An old ring, with no known use</t>
  </si>
  <si>
    <t>混沌の言葉</t>
  </si>
  <si>
    <t>Word of chaos</t>
  </si>
  <si>
    <t>Old ring from an old witch.\n\nEngraved minutely with indecipherable\nscript, but seemingly useless.</t>
  </si>
  <si>
    <t>Covenant of Artorias</t>
  </si>
  <si>
    <t>Traverse abyss</t>
  </si>
  <si>
    <t>闇歩き</t>
  </si>
  <si>
    <t>Darkness walk</t>
  </si>
  <si>
    <t>This ring symbolizes Knight Artorias's\ncovenant with the beasts of the Abyss.\n\nIts wearer, like Artorias himself, can\ntraverse the Abyss.</t>
  </si>
  <si>
    <t>Orange Charred Ring</t>
  </si>
  <si>
    <t>Reduces lava damage</t>
  </si>
  <si>
    <t>溶岩歩き</t>
  </si>
  <si>
    <t>Lava walk</t>
  </si>
  <si>
    <t>An orange ring enchanted by a witch.\nReduces lava damage.\n\nSince his sores were inflamed by lava\nfrom birth, his witch sisters gave him\nthis special ring. But fool that he is,\nhe readily dropped it, and from that spot,\na terrible centipede demon was born.</t>
  </si>
  <si>
    <t>Lingering Dragoncrest Ring</t>
  </si>
  <si>
    <t>Boosts length of sorcery effects</t>
  </si>
  <si>
    <t>補助魔法延長</t>
  </si>
  <si>
    <t>Auxiliary magic extension</t>
  </si>
  <si>
    <t>A special ring granted to only the most\naccomplished sorcerers at Vinheim Dragon\nSchool.\n\nThe ring is engraved with a lingering\ndragon, and boosts the length of the\neffects of sorceries.</t>
  </si>
  <si>
    <t>Ring of the Evil Eye</t>
  </si>
  <si>
    <t>Absorbs HP from fallen enemies</t>
  </si>
  <si>
    <t>HPドレイン</t>
  </si>
  <si>
    <t>HP drain</t>
  </si>
  <si>
    <t>According to legend, this ring contains the\nspirit of the evil eye, a dark beast which\nassaulted Astora.\n\nThe strength of the evil eye does not waver,\nand HP is absorbed from fallen enemies.</t>
  </si>
  <si>
    <t>Ring of Favor and Protection</t>
  </si>
  <si>
    <t>Boosts HP, stamina, load. Breaks when removed.</t>
  </si>
  <si>
    <t>強者の呪い</t>
  </si>
  <si>
    <t>Curse of the strong</t>
  </si>
  <si>
    <t>A ring symbolizing the favor and\nprotection of the goddess Fina, known\nin legend to possess "fateful beauty."\n\nThis ring boosts its wearer's HP, stamina,\nand max equipment load, but breaks if\never removed.</t>
  </si>
  <si>
    <t>Leo Ring</t>
  </si>
  <si>
    <t>Boosts counter attacks of thrust weapons</t>
  </si>
  <si>
    <t>カウンター強化</t>
  </si>
  <si>
    <t>Strengthening counter</t>
  </si>
  <si>
    <t>One of the special rings granted to the four\nknights of Gwyn. The Leo Ring belonged to\nOrnstein the Dragonslayer.\n\nThis ring strengthens counters with pierce\nweapons. His lugged spear is said\nto have sliced a boulder in two.</t>
  </si>
  <si>
    <t>East Wood Grain Ring</t>
  </si>
  <si>
    <t>Slows loss of weapon durability</t>
  </si>
  <si>
    <t>武器を大切に</t>
  </si>
  <si>
    <t>Cherish weapons</t>
  </si>
  <si>
    <t>This special ring crafted in an Eastern land\nis made of gold, but with a wood grain crest\non its surface.\n\nThe ring slows the loss of weapon durability\nand is particularly useful to bearers of\ndelicate swords crafted in the East.</t>
  </si>
  <si>
    <t>Wolf Ring</t>
  </si>
  <si>
    <t>Boosts poise</t>
  </si>
  <si>
    <t>SAアップ</t>
  </si>
  <si>
    <t>SA up</t>
  </si>
  <si>
    <t>One of the special rings granted to the four\nknights of Gwyn. The Wolf Ring belongs to\nArtorias the Abysswalker.\n\nArtorias had an unbendable will of steel,\nand was unmatched with a greatsword.</t>
  </si>
  <si>
    <t>Blue Tearstone Ring</t>
  </si>
  <si>
    <t>Boosts DEF while HP is low</t>
  </si>
  <si>
    <t>ピンチ防御力アップ</t>
  </si>
  <si>
    <t>Pinch Def.</t>
  </si>
  <si>
    <t>The rare gem called tearstone has the\nuncanny ability to sense imminent death.\n\nThis blue tearstone from Catarina boosts the\ndefence of its wearer when in danger.</t>
  </si>
  <si>
    <t>Ring of the Sun's Firstborn</t>
  </si>
  <si>
    <t>Boosts miracles</t>
  </si>
  <si>
    <t>奇跡威力アップ</t>
  </si>
  <si>
    <t>Miracle power up</t>
  </si>
  <si>
    <t>Lord Gwyn's firstborn, who inherited the\nsunlight, once wore this ancient ring.\nBoosts the strength of miracles.\n\nLord Gwyn's firstborn was a god of war,\nbut his foolishness led to a loss of the\nannals, and rescinding of his deific status.\nToday, even his name is not known.</t>
  </si>
  <si>
    <t>Darkmoon Seance Ring</t>
  </si>
  <si>
    <t>魔法スロットアップB</t>
  </si>
  <si>
    <t>Magic slot up B</t>
  </si>
  <si>
    <t>This ring is granted to adherents of\nGwyndolin, Darkmoon deity and\nlast born of Gwyn, Lord of Sunlight.\nGrants additional magic attunement slots.\n\nThe Dark Sun Gwyndolin is the only remaining\ndeity in Anor Londo. His followers are few,\nbut their tasks are of vital importance.</t>
  </si>
  <si>
    <t>Calamity Ring</t>
  </si>
  <si>
    <t>【DLC】黒竜の指輪</t>
  </si>
  <si>
    <t>Ring of [DLC] Black Dragon</t>
  </si>
  <si>
    <t>SpEffectId1</t>
  </si>
  <si>
    <t>SpEffectId2</t>
  </si>
  <si>
    <t>SpEffectId3</t>
  </si>
  <si>
    <t>Usually</t>
  </si>
  <si>
    <t>Weight</t>
  </si>
  <si>
    <t>Knight</t>
  </si>
  <si>
    <t>Bow</t>
  </si>
  <si>
    <t>Weapon</t>
  </si>
  <si>
    <t>Dagger</t>
  </si>
  <si>
    <t>Catarina Helm</t>
  </si>
  <si>
    <t>Parrying Dagger</t>
  </si>
  <si>
    <t>Catarina Armor</t>
  </si>
  <si>
    <t>Pierce Shield</t>
  </si>
  <si>
    <t>Pyromancy Flame</t>
  </si>
  <si>
    <t>Gravelord Sword</t>
  </si>
  <si>
    <t>Darkmoon Talisman</t>
  </si>
  <si>
    <t>Dark Hand</t>
  </si>
  <si>
    <t>Darksword</t>
  </si>
  <si>
    <t>Dark Mask</t>
  </si>
  <si>
    <t>Dark Armor</t>
  </si>
  <si>
    <t>Dark Gauntlets</t>
  </si>
  <si>
    <t>Dark Leggings</t>
  </si>
  <si>
    <t>Dingy Hood</t>
  </si>
  <si>
    <t>Dingy Robe</t>
  </si>
  <si>
    <t>Dingy Gloves</t>
  </si>
  <si>
    <t>Blood-Stained Skirt</t>
  </si>
  <si>
    <t>Demon's Great Hammer</t>
  </si>
  <si>
    <t>Chaos Blade</t>
  </si>
  <si>
    <t>Iron Helm</t>
  </si>
  <si>
    <t>Armor of the Sun</t>
  </si>
  <si>
    <t>Iron Bracelet</t>
  </si>
  <si>
    <t>Iron Leggings</t>
  </si>
  <si>
    <t>Sunlight Straight Sword</t>
  </si>
  <si>
    <t>Sunlight Shield</t>
  </si>
  <si>
    <t>Sunlight Talisman</t>
  </si>
  <si>
    <t>Ivory Talisman</t>
  </si>
  <si>
    <t>Murakumo</t>
  </si>
  <si>
    <t>Iron Round Shield</t>
  </si>
  <si>
    <t>Crescent Axe</t>
  </si>
  <si>
    <t>Man-serpent Greatsword</t>
  </si>
  <si>
    <t>Butcher Knife</t>
  </si>
  <si>
    <t>Grant</t>
  </si>
  <si>
    <t>Sanctus</t>
  </si>
  <si>
    <t>Barbed Straight Sword</t>
  </si>
  <si>
    <t>Spiked Shield</t>
  </si>
  <si>
    <t>Notched Whip</t>
  </si>
  <si>
    <t>Ricard's Rapier</t>
  </si>
  <si>
    <t>Izalith Catalyst</t>
  </si>
  <si>
    <t>Crest Shield</t>
  </si>
  <si>
    <t>Big Hat</t>
  </si>
  <si>
    <t>Tin Crystallization Ctlyst.</t>
  </si>
  <si>
    <t>Black Bow of Pharis</t>
  </si>
  <si>
    <t>Pharis's Hat</t>
  </si>
  <si>
    <t>Broken Straight Sword</t>
  </si>
  <si>
    <t>Demon Great Machete</t>
  </si>
  <si>
    <t>Smough's Hammer</t>
  </si>
  <si>
    <t>Stone Helm</t>
  </si>
  <si>
    <t>Heater Shield</t>
  </si>
  <si>
    <t>Helm of Favor</t>
  </si>
  <si>
    <t>Greataxe</t>
  </si>
  <si>
    <t>Spider Shield</t>
  </si>
  <si>
    <t>Heavy Crossbow</t>
  </si>
  <si>
    <t>Standard Helm</t>
  </si>
  <si>
    <t>Hard Leather Armor</t>
  </si>
  <si>
    <t>Hard Leather Gauntlets</t>
  </si>
  <si>
    <t>Hard Leather Boots</t>
  </si>
  <si>
    <t>Mail Breaker</t>
  </si>
  <si>
    <t>Light Crossbow</t>
  </si>
  <si>
    <t>Wooden Shield</t>
  </si>
  <si>
    <t>Claymore</t>
  </si>
  <si>
    <t>Knight Shield</t>
  </si>
  <si>
    <t>Thief Mask</t>
  </si>
  <si>
    <t>Black Leather Armor</t>
  </si>
  <si>
    <t>Black Leather Gloves</t>
  </si>
  <si>
    <t>Black Leather Boots</t>
  </si>
  <si>
    <t>Target Shield</t>
  </si>
  <si>
    <t>Sorcerer Hat</t>
  </si>
  <si>
    <t>Sorcerer Cloak</t>
  </si>
  <si>
    <t>Sorcerer Gauntlets</t>
  </si>
  <si>
    <t>Sorcerer Boots</t>
  </si>
  <si>
    <t>Sorcerer's Catalyst</t>
  </si>
  <si>
    <t>Halberd</t>
  </si>
  <si>
    <t>Caduceus Round Shield</t>
  </si>
  <si>
    <t>Zweihander</t>
  </si>
  <si>
    <t>Winged Spear</t>
  </si>
  <si>
    <t>Morning Star</t>
  </si>
  <si>
    <t>Talisman</t>
  </si>
  <si>
    <t>Mask of Velka</t>
  </si>
  <si>
    <t>Black Cleric Robe</t>
  </si>
  <si>
    <t>Black Manchette</t>
  </si>
  <si>
    <t>Black Tights</t>
  </si>
  <si>
    <t>Xanthous Crown</t>
  </si>
  <si>
    <t>Xanthous Overcoat</t>
  </si>
  <si>
    <t>Xanthous Gloves</t>
  </si>
  <si>
    <t>Xanthous Waistcloth</t>
  </si>
  <si>
    <t>Bloodshield</t>
  </si>
  <si>
    <t>Velka's Rapier</t>
  </si>
  <si>
    <t>Painting Guardian Hood</t>
  </si>
  <si>
    <t>Painting Guardian Robe</t>
  </si>
  <si>
    <t>Painting Guardian Gloves</t>
  </si>
  <si>
    <t>Painting Guardian Waistcloth</t>
  </si>
  <si>
    <t>Partizan</t>
  </si>
  <si>
    <t>Leather Armor</t>
  </si>
  <si>
    <t>Leather Gloves</t>
  </si>
  <si>
    <t>Leather Boots</t>
  </si>
  <si>
    <t>Longbow</t>
  </si>
  <si>
    <t>Elite Knight Helm</t>
  </si>
  <si>
    <t>Elite Knight Armor</t>
  </si>
  <si>
    <t>Elite Knight Gauntlets</t>
  </si>
  <si>
    <t>Elite Knight Leggings</t>
  </si>
  <si>
    <t>Eastern Helm</t>
  </si>
  <si>
    <t>Eastern Armor</t>
  </si>
  <si>
    <t>Eastern Gauntlets</t>
  </si>
  <si>
    <t>Eastern Leggings</t>
  </si>
  <si>
    <t>Crown of Dusk</t>
  </si>
  <si>
    <t>Antiquated Dress</t>
  </si>
  <si>
    <t>Antiquated Gloves</t>
  </si>
  <si>
    <t>Antiquated Skirt</t>
  </si>
  <si>
    <t>Stone Armor</t>
  </si>
  <si>
    <t>Stone Gauntlets</t>
  </si>
  <si>
    <t>Stone Leggings</t>
  </si>
  <si>
    <t>Grass Crest Shield</t>
  </si>
  <si>
    <t>Knight Helm</t>
  </si>
  <si>
    <t>Knight Armor</t>
  </si>
  <si>
    <t>Knight Gauntlets</t>
  </si>
  <si>
    <t>Knight Leggings</t>
  </si>
  <si>
    <t>Great Scythe</t>
  </si>
  <si>
    <t>Priest's Hat</t>
  </si>
  <si>
    <t>Holy Robe</t>
  </si>
  <si>
    <t>Traveling Gloves</t>
  </si>
  <si>
    <t>Holy Trousers</t>
  </si>
  <si>
    <t>Mace</t>
  </si>
  <si>
    <t>Skull Lantern</t>
  </si>
  <si>
    <t>Effigy Shield</t>
  </si>
  <si>
    <t>Paladin Helm</t>
  </si>
  <si>
    <t>Paladin Armor</t>
  </si>
  <si>
    <t>Paladin Gauntlets</t>
  </si>
  <si>
    <t>Paladin Leggings</t>
  </si>
  <si>
    <t>Plank Shield</t>
  </si>
  <si>
    <t>Shadow Mask</t>
  </si>
  <si>
    <t>Shadow Garb</t>
  </si>
  <si>
    <t>Shadow Gauntlets</t>
  </si>
  <si>
    <t>Shadow Leggings</t>
  </si>
  <si>
    <t>Eagle Shield</t>
  </si>
  <si>
    <t>Whip</t>
  </si>
  <si>
    <t>Mask of the Sealer</t>
  </si>
  <si>
    <t>Crimson Robe</t>
  </si>
  <si>
    <t>Crimson Gloves</t>
  </si>
  <si>
    <t>Crimson Waistcloth</t>
  </si>
  <si>
    <t>Tin Banishment Catalyst</t>
  </si>
  <si>
    <t>Great Club</t>
  </si>
  <si>
    <t>Tattered Cloth Hood</t>
  </si>
  <si>
    <t>Tattered Cloth Robe</t>
  </si>
  <si>
    <t>Tattered Cloth Manchette</t>
  </si>
  <si>
    <t>Heavy Boots</t>
  </si>
  <si>
    <t>Wanderer Hood</t>
  </si>
  <si>
    <t>Wanderer Coat</t>
  </si>
  <si>
    <t>Wanderer Manchette</t>
  </si>
  <si>
    <t>Wanderer Boots</t>
  </si>
  <si>
    <t>Falchion</t>
  </si>
  <si>
    <t>Iaito</t>
  </si>
  <si>
    <t>Server</t>
  </si>
  <si>
    <t>Helm of Thorns</t>
  </si>
  <si>
    <t>Armor of Thorns</t>
  </si>
  <si>
    <t>Gauntlets of Thorns</t>
  </si>
  <si>
    <t>Leggings of Thorns</t>
  </si>
  <si>
    <t>Gold-Hemmed Black Hood</t>
  </si>
  <si>
    <t>Gold-Hemmed Black Cloak</t>
  </si>
  <si>
    <t>Gold-Hemmed Black Gloves</t>
  </si>
  <si>
    <t>Gold-Hemmed Black Skirt</t>
  </si>
  <si>
    <t>Black Sorcerer Hat</t>
  </si>
  <si>
    <t>Black Sorcerer Cloak</t>
  </si>
  <si>
    <t>Black Sorcerer Gauntlets</t>
  </si>
  <si>
    <t>Black Sorcerer Boots</t>
  </si>
  <si>
    <t>Shotel</t>
  </si>
  <si>
    <t>Scythe</t>
  </si>
  <si>
    <t>Sniper Crossbow</t>
  </si>
  <si>
    <t>Dragonslayer Greatbow</t>
  </si>
  <si>
    <t>Black Iron Helm</t>
  </si>
  <si>
    <t>Black Iron Armor</t>
  </si>
  <si>
    <t>Black Iron Gauntlets</t>
  </si>
  <si>
    <t>Black Iron Leggings</t>
  </si>
  <si>
    <t>Greatsword</t>
  </si>
  <si>
    <t>Black Iron Greatshield</t>
  </si>
  <si>
    <t>Embraced Armor of Favor</t>
  </si>
  <si>
    <t>Gauntlets of Favor</t>
  </si>
  <si>
    <t>Leggings of Favor</t>
  </si>
  <si>
    <t>Havel's Helm</t>
  </si>
  <si>
    <t>Havel's Armor</t>
  </si>
  <si>
    <t>Havel's Gauntlets</t>
  </si>
  <si>
    <t>Havel's Leggings</t>
  </si>
  <si>
    <t>Havel's Greatshield</t>
  </si>
  <si>
    <t>Dragon Tooth</t>
  </si>
  <si>
    <t>Silver Knight Helm</t>
  </si>
  <si>
    <t>Silver Knight Armor</t>
  </si>
  <si>
    <t>Silver Knight Gauntlets</t>
  </si>
  <si>
    <t>Silver Knight Leggings</t>
  </si>
  <si>
    <t>Brass Helm</t>
  </si>
  <si>
    <t>Brass Armor</t>
  </si>
  <si>
    <t>Brass Gauntlets</t>
  </si>
  <si>
    <t>Brass Leggings</t>
  </si>
  <si>
    <t>Estoc</t>
  </si>
  <si>
    <t>Composite Bow</t>
  </si>
  <si>
    <t>Astora's Straight Sword</t>
  </si>
  <si>
    <t>Dragon Crest Shield</t>
  </si>
  <si>
    <t>Brigand Hood</t>
  </si>
  <si>
    <t>Brigand Armor</t>
  </si>
  <si>
    <t>Brigand Gauntlets</t>
  </si>
  <si>
    <t>Brigand Trousers</t>
  </si>
  <si>
    <t>Witch Hat</t>
  </si>
  <si>
    <t>Witch Cloak</t>
  </si>
  <si>
    <t>Witch Gloves</t>
  </si>
  <si>
    <t>Witch Skirt</t>
  </si>
  <si>
    <t>Beatrice's Catalyst</t>
  </si>
  <si>
    <t>Avelyn</t>
  </si>
  <si>
    <t>Maiden Hood</t>
  </si>
  <si>
    <t>Maiden Robe</t>
  </si>
  <si>
    <t>Maiden Gloves</t>
  </si>
  <si>
    <t>Maiden Skirt</t>
  </si>
  <si>
    <t>Six-Eyed Helm of the Channelers</t>
  </si>
  <si>
    <t>Robe of the Channelers</t>
  </si>
  <si>
    <t>Gauntlets of the Channelers</t>
  </si>
  <si>
    <t>Waistcloth of the Channelers</t>
  </si>
  <si>
    <t>Sage Robe</t>
  </si>
  <si>
    <t>Traveling Boots</t>
  </si>
  <si>
    <t>Logan's Catalyst</t>
  </si>
  <si>
    <t>Crystalline Helm</t>
  </si>
  <si>
    <t>Crystalline Armor</t>
  </si>
  <si>
    <t>Crystalline Gauntlets</t>
  </si>
  <si>
    <t>Crystalline Leggings</t>
  </si>
  <si>
    <t>Black Knight Helm</t>
  </si>
  <si>
    <t>Black Knight Armor</t>
  </si>
  <si>
    <t>Black Knight Gauntlets</t>
  </si>
  <si>
    <t>Black Knight Leggings</t>
  </si>
  <si>
    <t>Longsword</t>
  </si>
  <si>
    <t>Broadsword</t>
  </si>
  <si>
    <t>Tower Kite Shield</t>
  </si>
  <si>
    <t>Scimitar</t>
  </si>
  <si>
    <t>Leather Shield</t>
  </si>
  <si>
    <t>Bandit's Knife</t>
  </si>
  <si>
    <t>Battle Axe</t>
  </si>
  <si>
    <t>Shortsword</t>
  </si>
  <si>
    <t>Large Leather Shield</t>
  </si>
  <si>
    <t>Short Bow</t>
  </si>
  <si>
    <t>Small Leather Shield</t>
  </si>
  <si>
    <t>Hand Axe</t>
  </si>
  <si>
    <t>Cracked Round Shield</t>
  </si>
  <si>
    <t>East-West Shield</t>
  </si>
  <si>
    <t>Canvas Talisman</t>
  </si>
  <si>
    <t>Club</t>
  </si>
  <si>
    <t>Ghost Blade</t>
  </si>
  <si>
    <t>Priscilla's Dagger</t>
  </si>
  <si>
    <t>Silv. Knight Str. Sword</t>
  </si>
  <si>
    <t>Drake Sword</t>
  </si>
  <si>
    <t>Stone Greatsword</t>
  </si>
  <si>
    <t>Greatsword of Artorias</t>
  </si>
  <si>
    <t>Great Lord Greatsword</t>
  </si>
  <si>
    <t>Moonlight Greatsword</t>
  </si>
  <si>
    <t>Black Knight Sword</t>
  </si>
  <si>
    <t>Dragon Greatsword</t>
  </si>
  <si>
    <t>Black Knight Greatsword</t>
  </si>
  <si>
    <t>Jagged Ghost Blade</t>
  </si>
  <si>
    <t>Quelaag's Furysword</t>
  </si>
  <si>
    <t>Golem Axe</t>
  </si>
  <si>
    <t>Dragon King Greataxe</t>
  </si>
  <si>
    <t>Black Knight Greataxe</t>
  </si>
  <si>
    <t>Dragon Bone Fist</t>
  </si>
  <si>
    <t>Silver Knight Spear</t>
  </si>
  <si>
    <t>Dragonslayer Spear</t>
  </si>
  <si>
    <t>Moonlight Butterfly Horn</t>
  </si>
  <si>
    <t>Titanite Catch Pole</t>
  </si>
  <si>
    <t>Black Knight Halberd</t>
  </si>
  <si>
    <t>Lifehunt Scythe</t>
  </si>
  <si>
    <t>Darkmoon Bow</t>
  </si>
  <si>
    <t>Tin Darkmoon Catalyst</t>
  </si>
  <si>
    <t>Crystal Ring Shield</t>
  </si>
  <si>
    <t>Silver Knight Shield</t>
  </si>
  <si>
    <t>Black Knight Shield</t>
  </si>
  <si>
    <t>Stone Greatshield</t>
  </si>
  <si>
    <t>Greatshield of Artorias</t>
  </si>
  <si>
    <t>Spear</t>
  </si>
  <si>
    <t>Demon's Catalyst</t>
  </si>
  <si>
    <t>Demon's Greataxe</t>
  </si>
  <si>
    <t>Demon's Spear</t>
  </si>
  <si>
    <t>Channeler's Trident</t>
  </si>
  <si>
    <t>Painting Guardian Sword</t>
  </si>
  <si>
    <t>Uchigatana</t>
  </si>
  <si>
    <t>Hollow Thief's Hood</t>
  </si>
  <si>
    <t>Hollow Thief's Leather Armor</t>
  </si>
  <si>
    <t>Hollow Thief's Tights</t>
  </si>
  <si>
    <t>Hollow Warrior Helm</t>
  </si>
  <si>
    <t>Hollow Warrior Armor</t>
  </si>
  <si>
    <t>Hollow Warrior Waistcloth</t>
  </si>
  <si>
    <t>Hollow Soldier Shield</t>
  </si>
  <si>
    <t>Hollow Soldier Helm</t>
  </si>
  <si>
    <t>Hollow Soldier Armor</t>
  </si>
  <si>
    <t>Hollow Soldier Waistcloth</t>
  </si>
  <si>
    <t>Balder Side Sword</t>
  </si>
  <si>
    <t>Balder Shield</t>
  </si>
  <si>
    <t>Balder Helm</t>
  </si>
  <si>
    <t>Balder Armor</t>
  </si>
  <si>
    <t>Balder Gauntlets</t>
  </si>
  <si>
    <t>Balder Leggings</t>
  </si>
  <si>
    <t>Rapier</t>
  </si>
  <si>
    <t>Buckler</t>
  </si>
  <si>
    <t>Tower Shield</t>
  </si>
  <si>
    <t>Steel Helm</t>
  </si>
  <si>
    <t>Steel Armor</t>
  </si>
  <si>
    <t>Steel Gauntlets</t>
  </si>
  <si>
    <t>Steel Leggings</t>
  </si>
  <si>
    <t>Blacksmith Hammer</t>
  </si>
  <si>
    <t>Sack</t>
  </si>
  <si>
    <t>Flamberge</t>
  </si>
  <si>
    <t>Symbol of Avarice</t>
  </si>
  <si>
    <t>Crystal Straight Sword</t>
  </si>
  <si>
    <t>Caduceus Kite Shield</t>
  </si>
  <si>
    <t>Large Club</t>
  </si>
  <si>
    <t>Pickaxe</t>
  </si>
  <si>
    <t>Blacksmith Giant Hammer</t>
  </si>
  <si>
    <t>Giant's Halberd</t>
  </si>
  <si>
    <t>Giant Shield</t>
  </si>
  <si>
    <t>Red and White Round Shield</t>
  </si>
  <si>
    <t>Hammer of Vamos</t>
  </si>
  <si>
    <t>Royal Helm</t>
  </si>
  <si>
    <t>Bonewheel Shield</t>
  </si>
  <si>
    <t>Mask of the Father</t>
  </si>
  <si>
    <t>Mask of the Mother</t>
  </si>
  <si>
    <t>Mask of the Child</t>
  </si>
  <si>
    <t>Fang Boar Helm</t>
  </si>
  <si>
    <t>Sunlight Maggot</t>
  </si>
  <si>
    <t>Chain Helm</t>
  </si>
  <si>
    <t>Chain Armor</t>
  </si>
  <si>
    <t>Leather Gauntlets</t>
  </si>
  <si>
    <t>Chain Leggings</t>
  </si>
  <si>
    <t>Gargoyle's Halberd</t>
  </si>
  <si>
    <t>Gargoyle's Shield</t>
  </si>
  <si>
    <t>Gargoyle Helm</t>
  </si>
  <si>
    <t>Gargoyle Tail Axe</t>
  </si>
  <si>
    <t>Crystal</t>
  </si>
  <si>
    <t>Crystal +5</t>
  </si>
  <si>
    <t>Lightning</t>
  </si>
  <si>
    <t>Thunder +5</t>
  </si>
  <si>
    <t>Crude +5</t>
  </si>
  <si>
    <t>Magic</t>
  </si>
  <si>
    <t>Magic +10</t>
  </si>
  <si>
    <t>A +10 magic</t>
  </si>
  <si>
    <t>Magic B +5</t>
  </si>
  <si>
    <t>Sacred +10</t>
  </si>
  <si>
    <t>Dark +5</t>
  </si>
  <si>
    <t>Flame</t>
  </si>
  <si>
    <t>Flame +10</t>
  </si>
  <si>
    <t>+5 Flame of chaos</t>
  </si>
  <si>
    <t>Physical Defense</t>
  </si>
  <si>
    <t>Slash Defense</t>
  </si>
  <si>
    <t>Blow Defense</t>
  </si>
  <si>
    <t>Thrust Defense</t>
  </si>
  <si>
    <t>Magic Defense</t>
  </si>
  <si>
    <t>Fire Defense</t>
  </si>
  <si>
    <t>Resist Poison</t>
  </si>
  <si>
    <t>Resist Disease</t>
  </si>
  <si>
    <t>Resist Bleed</t>
  </si>
  <si>
    <t>Resist Curse</t>
  </si>
  <si>
    <t>Head</t>
  </si>
  <si>
    <t>Ring 1</t>
  </si>
  <si>
    <t>Translated name</t>
  </si>
  <si>
    <t>Catarina Gauntlets</t>
  </si>
  <si>
    <t>Catarina Leggings</t>
  </si>
  <si>
    <t>Smough's Helm</t>
  </si>
  <si>
    <t>Smough's Armor</t>
  </si>
  <si>
    <t>Smough's Gauntlets</t>
  </si>
  <si>
    <t>Smough's Leggings</t>
  </si>
  <si>
    <t>Helm of the Wise</t>
  </si>
  <si>
    <t>Armor of the Glorious</t>
  </si>
  <si>
    <t>Gauntlets of the Vanquisher</t>
  </si>
  <si>
    <t>Boots of the Explorer</t>
  </si>
  <si>
    <t>Cleric Helm</t>
  </si>
  <si>
    <t>Cleric Armor</t>
  </si>
  <si>
    <t>Cleric Gauntlets</t>
  </si>
  <si>
    <t>Cleric Leggings</t>
  </si>
  <si>
    <t>Ornstein's Helm</t>
  </si>
  <si>
    <t>Ornstein's Armor</t>
  </si>
  <si>
    <t>Ornstein's Gauntlets</t>
  </si>
  <si>
    <t>Ornstein's Leggings</t>
  </si>
  <si>
    <t>Mage Smith Hat</t>
  </si>
  <si>
    <t>Mage Smith Coat</t>
  </si>
  <si>
    <t>Mage Smith Gauntlets</t>
  </si>
  <si>
    <t>Mage Smith Boots</t>
  </si>
  <si>
    <t>Golem Helm</t>
  </si>
  <si>
    <t>Golem Armor</t>
  </si>
  <si>
    <t>Golem Gauntlets</t>
  </si>
  <si>
    <t>Golem Leggings</t>
  </si>
  <si>
    <t>Giant Helm</t>
  </si>
  <si>
    <t>Giant Armor</t>
  </si>
  <si>
    <t>Giant Gauntlets</t>
  </si>
  <si>
    <t>Giant Leggings</t>
  </si>
  <si>
    <t>Crown of the Dark Sun</t>
  </si>
  <si>
    <t>Moonlight Robe</t>
  </si>
  <si>
    <t>Moonlight Gloves</t>
  </si>
  <si>
    <t>Moonlight Waistcloth</t>
  </si>
  <si>
    <t>Crown of the Great Lord</t>
  </si>
  <si>
    <t>Robe of the Great Lord</t>
  </si>
  <si>
    <t>Bracelet of the Great Lord</t>
  </si>
  <si>
    <t>Anklet of the Great Lord</t>
  </si>
  <si>
    <t>Elite Cleric Helm</t>
  </si>
  <si>
    <t>Elite Cleric Armor</t>
  </si>
  <si>
    <t>Elite Cleric Gauntlets</t>
  </si>
  <si>
    <t>Elite Cleric Leggings</t>
  </si>
  <si>
    <t>Body</t>
  </si>
  <si>
    <t>Legs</t>
  </si>
  <si>
    <t>ResidentSpEffectId1</t>
  </si>
  <si>
    <t>ResidentSpEffectId2</t>
  </si>
  <si>
    <t>ResidentSpEffectId3</t>
  </si>
  <si>
    <t>MaterialSetId</t>
  </si>
  <si>
    <t>Normal</t>
  </si>
  <si>
    <t>通常</t>
  </si>
  <si>
    <t>Normal +10</t>
  </si>
  <si>
    <t>Special</t>
  </si>
  <si>
    <t>Unique +5</t>
  </si>
  <si>
    <t>Special +5</t>
  </si>
  <si>
    <t>Thunder Defense</t>
  </si>
  <si>
    <t>Straight Sword Hilt</t>
  </si>
  <si>
    <t>Bastard Sword</t>
  </si>
  <si>
    <t>Crystal Greatsword</t>
  </si>
  <si>
    <t>Washing Pole</t>
  </si>
  <si>
    <t>Warpick</t>
  </si>
  <si>
    <t>Reinforced Club</t>
  </si>
  <si>
    <t>Fists</t>
  </si>
  <si>
    <t>Caestus</t>
  </si>
  <si>
    <t>Claw</t>
  </si>
  <si>
    <t>Pike</t>
  </si>
  <si>
    <t>Crossbow</t>
  </si>
  <si>
    <t>Oolacile Ivory Catalyst</t>
  </si>
  <si>
    <t>Thorolund Talisman</t>
  </si>
  <si>
    <t>Velka's Talisman</t>
  </si>
  <si>
    <t>Warrior's Round Shield</t>
  </si>
  <si>
    <t>Crystal Shield</t>
  </si>
  <si>
    <t>Gold Tracer</t>
  </si>
  <si>
    <t>Dark Silver Tracer</t>
  </si>
  <si>
    <t>Abyss Greatsword</t>
  </si>
  <si>
    <t>Cleansing Greatshield</t>
  </si>
  <si>
    <t>Stone Greataxe</t>
  </si>
  <si>
    <t>Four-Pronged Prow</t>
  </si>
  <si>
    <t>Manus Catalyst</t>
  </si>
  <si>
    <t>Oolacile Catalyst</t>
  </si>
  <si>
    <t>Guardian Tail</t>
  </si>
  <si>
    <t>Obsidian Greatsword</t>
  </si>
  <si>
    <t>Gough's Great Bow</t>
  </si>
  <si>
    <t>PhysicsAtkRate</t>
  </si>
  <si>
    <t>MagicAtkRate</t>
  </si>
  <si>
    <t>FireAtkRate</t>
  </si>
  <si>
    <t>ThunderAtkRate</t>
  </si>
  <si>
    <t>StaminaAtkRate</t>
  </si>
  <si>
    <t>SaWeaponAtkRate</t>
  </si>
  <si>
    <t>SaDurabilityRate</t>
  </si>
  <si>
    <t>CorrectStrengthRate</t>
  </si>
  <si>
    <t>CorrectAgilityRate</t>
  </si>
  <si>
    <t>CorrectMagicRate</t>
  </si>
  <si>
    <t>CorrectFaithRate</t>
  </si>
  <si>
    <t>PhysicsGuardCutRate</t>
  </si>
  <si>
    <t>MagicGuardCutRate</t>
  </si>
  <si>
    <t>FireGuardCutRate</t>
  </si>
  <si>
    <t>ThunderGuardCutRate</t>
  </si>
  <si>
    <t>PoisonGuardResistRate</t>
  </si>
  <si>
    <t>DiseaseGuardResistRate</t>
  </si>
  <si>
    <t>BloodGuardResistRate</t>
  </si>
  <si>
    <t>CurseGuardResistRate</t>
  </si>
  <si>
    <t>StaminaGuardDefRate</t>
  </si>
  <si>
    <t>Normal +15</t>
  </si>
  <si>
    <t>通常＋15</t>
  </si>
  <si>
    <t>結晶＋5</t>
  </si>
  <si>
    <t>雷＋5</t>
  </si>
  <si>
    <t>Raw</t>
  </si>
  <si>
    <t>Raw +5</t>
  </si>
  <si>
    <t>粗製＋5</t>
  </si>
  <si>
    <t>魔法A＋10</t>
  </si>
  <si>
    <t>魔法B＋5</t>
  </si>
  <si>
    <t>神聖＋10</t>
  </si>
  <si>
    <t>暗黒＋5</t>
  </si>
  <si>
    <t>炎＋10</t>
  </si>
  <si>
    <t>Chaos</t>
  </si>
  <si>
    <t>Chaos +5</t>
  </si>
  <si>
    <t>混沌の炎＋5</t>
  </si>
  <si>
    <t>Daemon +5</t>
  </si>
  <si>
    <t>デーモン＋5</t>
  </si>
  <si>
    <t>Dragon</t>
  </si>
  <si>
    <t>Dragon +5</t>
  </si>
  <si>
    <t>ドラゴン＋5</t>
  </si>
  <si>
    <t>特別＋5</t>
  </si>
  <si>
    <t>[ Club ] usually dedicated +15</t>
  </si>
  <si>
    <t>【クラブ専用】通常＋15</t>
  </si>
  <si>
    <t>[ Club -only ] crystal +5</t>
  </si>
  <si>
    <t>【クラブ専用】結晶＋5</t>
  </si>
  <si>
    <t>[ Club ] dedicated lightning +5</t>
  </si>
  <si>
    <t>【クラブ専用】雷＋5</t>
  </si>
  <si>
    <t>[ Club dedicated crude +5</t>
  </si>
  <si>
    <t>【クラブ専用】粗製＋5</t>
  </si>
  <si>
    <t>[ Only ] magic club A +10</t>
  </si>
  <si>
    <t>【クラブ専用】魔法A＋10</t>
  </si>
  <si>
    <t>[ Only ] magic club B +5</t>
  </si>
  <si>
    <t>【クラブ専用】魔法B＋5</t>
  </si>
  <si>
    <t>[ Club ] dedicated sacred +10</t>
  </si>
  <si>
    <t>【クラブ専用】神聖＋10</t>
  </si>
  <si>
    <t>[ Club -only ] dark +5</t>
  </si>
  <si>
    <t>【クラブ専用】暗黒＋5</t>
  </si>
  <si>
    <t>[ Club ] dedicated flame +10</t>
  </si>
  <si>
    <t>【クラブ専用】炎＋10</t>
  </si>
  <si>
    <t>Flame +5 ] [ club dedicated chaos</t>
  </si>
  <si>
    <t>【クラブ専用】混沌の炎＋5</t>
  </si>
  <si>
    <t>[ Composite ] thunder +5</t>
  </si>
  <si>
    <t>【コンポジット】雷＋5</t>
  </si>
  <si>
    <t>[ Composite ] flame +10</t>
  </si>
  <si>
    <t>【コンポジット】炎＋10</t>
  </si>
  <si>
    <t>[ Composite ] chaos +5</t>
  </si>
  <si>
    <t>【コンポジット】混沌＋5</t>
  </si>
  <si>
    <t>[ Crossbow ] usually +15</t>
  </si>
  <si>
    <t>【弩】通常＋15</t>
  </si>
  <si>
    <t>[ Crossbow ] crystal +5</t>
  </si>
  <si>
    <t>【弩】結晶＋5</t>
  </si>
  <si>
    <t>[ Crossbow ] thunder +5</t>
  </si>
  <si>
    <t>【弩】雷＋5</t>
  </si>
  <si>
    <t>[ Crossbow ] magic A +10</t>
  </si>
  <si>
    <t>【弩】魔法A＋10</t>
  </si>
  <si>
    <t>[ Crossbow ] sacred +10</t>
  </si>
  <si>
    <t>【弩】神聖＋10</t>
  </si>
  <si>
    <t>[ Crossbow ] flame +10</t>
  </si>
  <si>
    <t>【弩】炎＋10</t>
  </si>
  <si>
    <t>[ Bow ] thunder +5</t>
  </si>
  <si>
    <t>【弓】雷＋5</t>
  </si>
  <si>
    <t>[ Bow ] magic B +5</t>
  </si>
  <si>
    <t>【弓】魔法B＋5</t>
  </si>
  <si>
    <t>[ Bow ] flame +10</t>
  </si>
  <si>
    <t>【弓】炎＋10</t>
  </si>
  <si>
    <t>[ Bow ] chaos +5</t>
  </si>
  <si>
    <t>【弓】混沌＋5</t>
  </si>
  <si>
    <t>Upgrade Path</t>
  </si>
  <si>
    <t>Armor Name</t>
  </si>
  <si>
    <t>Painting Guardian Hood +5</t>
  </si>
  <si>
    <t>Traveling Gloves +10</t>
  </si>
  <si>
    <t>Black Sorcerer Hat +10</t>
  </si>
  <si>
    <t>Painting Guardian Gloves +5</t>
  </si>
  <si>
    <t>Eastern Gauntlets +5</t>
  </si>
  <si>
    <t>Sack +10</t>
  </si>
  <si>
    <t>Dingy Hood +10</t>
  </si>
  <si>
    <t>Crimson Gloves +5</t>
  </si>
  <si>
    <t>Maiden Hood +10</t>
  </si>
  <si>
    <t>Pharis's Hat +10</t>
  </si>
  <si>
    <t>Antiquated Gloves +5</t>
  </si>
  <si>
    <t>Hollow Thief's Hood +10</t>
  </si>
  <si>
    <t>Priest's Hat +10</t>
  </si>
  <si>
    <t>Tattered Cloth Hood +10</t>
  </si>
  <si>
    <t>Mage Smith Hat +10</t>
  </si>
  <si>
    <t>Black Sorcerer Boots +10</t>
  </si>
  <si>
    <t>Black Sorcerer Gauntlets +10</t>
  </si>
  <si>
    <t>Sorcerer Hat +10</t>
  </si>
  <si>
    <t>Painting Guardian Robe +5</t>
  </si>
  <si>
    <t>Shadow Mask +5</t>
  </si>
  <si>
    <t>Witch Hat +5</t>
  </si>
  <si>
    <t>Dingy Gloves +10</t>
  </si>
  <si>
    <t>Brigand Hood +10</t>
  </si>
  <si>
    <t>Thief Mask +10</t>
  </si>
  <si>
    <t>Wanderer Hood +10</t>
  </si>
  <si>
    <t>Hollow Soldier Helm +10</t>
  </si>
  <si>
    <t>Hollow Warrior Helm +10</t>
  </si>
  <si>
    <t>Black Manchette +5</t>
  </si>
  <si>
    <t>Maiden Gloves +10</t>
  </si>
  <si>
    <t>Mask of Velka +5</t>
  </si>
  <si>
    <t>Mask of the Sealer +5</t>
  </si>
  <si>
    <t>Leather Gauntlets +10</t>
  </si>
  <si>
    <t>Chain Helm +10</t>
  </si>
  <si>
    <t>Hollow Thief's Tights +10</t>
  </si>
  <si>
    <t>Traveling Boots +10</t>
  </si>
  <si>
    <t>Heavy Boots +10</t>
  </si>
  <si>
    <t>Tattered Cloth Manchette +10</t>
  </si>
  <si>
    <t>Mage Smith Boots +10</t>
  </si>
  <si>
    <t>Mage Smith Gauntlets +10</t>
  </si>
  <si>
    <t>Sorcerer Boots +10</t>
  </si>
  <si>
    <t>Sorcerer Gauntlets +10</t>
  </si>
  <si>
    <t>Leather Boots +10</t>
  </si>
  <si>
    <t>Leather Gloves +10</t>
  </si>
  <si>
    <t>Black Leather Boots +10</t>
  </si>
  <si>
    <t>Shadow Leggings +5</t>
  </si>
  <si>
    <t>Shadow Gauntlets +5</t>
  </si>
  <si>
    <t>Hollow Soldier Waistcloth +10</t>
  </si>
  <si>
    <t>Hollow Warrior Waistcloth +10</t>
  </si>
  <si>
    <t>Blood-Stained Skirt +10</t>
  </si>
  <si>
    <t>Black Sorcerer Cloak +10</t>
  </si>
  <si>
    <t>Black Leather Gloves +10</t>
  </si>
  <si>
    <t>Hard Leather Boots +10</t>
  </si>
  <si>
    <t>Hard Leather Gauntlets +10</t>
  </si>
  <si>
    <t>Witch Gloves +5</t>
  </si>
  <si>
    <t>Antiquated Dress +5</t>
  </si>
  <si>
    <t>Big Hat +5</t>
  </si>
  <si>
    <t>Balder Helm +10</t>
  </si>
  <si>
    <t>Iron Helm +10</t>
  </si>
  <si>
    <t>Knight Helm +10</t>
  </si>
  <si>
    <t>Standard Helm +10</t>
  </si>
  <si>
    <t>Maiden Skirt +10</t>
  </si>
  <si>
    <t>Holy Trousers +10</t>
  </si>
  <si>
    <t>Brigand Trousers +10</t>
  </si>
  <si>
    <t>Brigand Gauntlets +10</t>
  </si>
  <si>
    <t>Wanderer Boots +10</t>
  </si>
  <si>
    <t>Wanderer Manchette +10</t>
  </si>
  <si>
    <t>Gargoyle Helm +5</t>
  </si>
  <si>
    <t>Eastern Leggings +5</t>
  </si>
  <si>
    <t>Antiquated Skirt +5</t>
  </si>
  <si>
    <t>Cleric Helm +10</t>
  </si>
  <si>
    <t>Elite Knight Helm +10</t>
  </si>
  <si>
    <t>Black Tights +5</t>
  </si>
  <si>
    <t>Royal Helm +10</t>
  </si>
  <si>
    <t>Steel Helm +10</t>
  </si>
  <si>
    <t>Elite Cleric Helm +10</t>
  </si>
  <si>
    <t>Helm of Thorns +5</t>
  </si>
  <si>
    <t>Eastern Helm +5</t>
  </si>
  <si>
    <t>Witch Skirt +5</t>
  </si>
  <si>
    <t>Balder Gauntlets +10</t>
  </si>
  <si>
    <t>Iron Bracelet +10</t>
  </si>
  <si>
    <t>Knight Gauntlets +10</t>
  </si>
  <si>
    <t>Xanthous Gloves +5</t>
  </si>
  <si>
    <t>Xanthous Crown +5</t>
  </si>
  <si>
    <t>Helm of Favor +5</t>
  </si>
  <si>
    <t>Dark Mask +5</t>
  </si>
  <si>
    <t>Elite Knight Gauntlets +10</t>
  </si>
  <si>
    <t>Chain Leggings +10</t>
  </si>
  <si>
    <t>Maiden Robe +10</t>
  </si>
  <si>
    <t>Mage Smith Coat +10</t>
  </si>
  <si>
    <t>Sorcerer Cloak +10</t>
  </si>
  <si>
    <t>Gauntlets of Favor +5</t>
  </si>
  <si>
    <t>Black Knight Helm +5</t>
  </si>
  <si>
    <t>Silver Knight Helm +5</t>
  </si>
  <si>
    <t>Iron Leggings +10</t>
  </si>
  <si>
    <t>Hollow Thief's Leather Armor +10</t>
  </si>
  <si>
    <t>Tattered Cloth Robe +10</t>
  </si>
  <si>
    <t>Paladin Helm +5</t>
  </si>
  <si>
    <t>Painting Guardian Waistcloth +5</t>
  </si>
  <si>
    <t>Brass Helm +5</t>
  </si>
  <si>
    <t>Catarina Helm +5</t>
  </si>
  <si>
    <t>Balder Leggings +10</t>
  </si>
  <si>
    <t>Knight Leggings +10</t>
  </si>
  <si>
    <t>Holy Robe +10</t>
  </si>
  <si>
    <t>Shadow Garb +5</t>
  </si>
  <si>
    <t>Black Cleric Robe +5</t>
  </si>
  <si>
    <t>Elite Knight Leggings +10</t>
  </si>
  <si>
    <t>Dingy Robe +10</t>
  </si>
  <si>
    <t>Brigand Armor +10</t>
  </si>
  <si>
    <t>Black Leather Armor +10</t>
  </si>
  <si>
    <t>Wanderer Coat +10</t>
  </si>
  <si>
    <t>Brass Gauntlets +5</t>
  </si>
  <si>
    <t>Elite Cleric Leggings +10</t>
  </si>
  <si>
    <t>Elite Cleric Gauntlets +10</t>
  </si>
  <si>
    <t>Cleric Leggings +10</t>
  </si>
  <si>
    <t>Cleric Gauntlets +10</t>
  </si>
  <si>
    <t>Hollow Warrior Armor +10</t>
  </si>
  <si>
    <t>Leather Armor +10</t>
  </si>
  <si>
    <t>Silver Knight Gauntlets +5</t>
  </si>
  <si>
    <t>Steel Leggings +10</t>
  </si>
  <si>
    <t>Steel Gauntlets +10</t>
  </si>
  <si>
    <t>Leggings of Thorns +5</t>
  </si>
  <si>
    <t>Gauntlets of Thorns +5</t>
  </si>
  <si>
    <t>Fang Boar Helm +5</t>
  </si>
  <si>
    <t>Black Knight Gauntlets +5</t>
  </si>
  <si>
    <t>Brass Leggings +5</t>
  </si>
  <si>
    <t>Hollow Soldier Armor +10</t>
  </si>
  <si>
    <t>Hard Leather Armor +10</t>
  </si>
  <si>
    <t>Dark Leggings +5</t>
  </si>
  <si>
    <t>Dark Gauntlets +5</t>
  </si>
  <si>
    <t>Giant Helm +5</t>
  </si>
  <si>
    <t>Black Iron Helm +5</t>
  </si>
  <si>
    <t>Leggings of Favor +5</t>
  </si>
  <si>
    <t>Silver Knight Leggings +5</t>
  </si>
  <si>
    <t>Crimson Waistcloth +5</t>
  </si>
  <si>
    <t>Black Knight Leggings +5</t>
  </si>
  <si>
    <t>Chain Armor +10</t>
  </si>
  <si>
    <t>Xanthous Waistcloth +5</t>
  </si>
  <si>
    <t>Xanthous Overcoat +5</t>
  </si>
  <si>
    <t>Crimson Robe +5</t>
  </si>
  <si>
    <t>Witch Cloak +5</t>
  </si>
  <si>
    <t>Catarina Leggings +5</t>
  </si>
  <si>
    <t>Catarina Gauntlets +5</t>
  </si>
  <si>
    <t>Paladin Leggings +5</t>
  </si>
  <si>
    <t>Paladin Gauntlets +5</t>
  </si>
  <si>
    <t>Armor of the Sun +10</t>
  </si>
  <si>
    <t>Balder Armor +10</t>
  </si>
  <si>
    <t>Knight Armor +10</t>
  </si>
  <si>
    <t>Elite Knight Armor +10</t>
  </si>
  <si>
    <t>Black Iron Leggings +5</t>
  </si>
  <si>
    <t>Black Iron Gauntlets +5</t>
  </si>
  <si>
    <t>Cleric Armor +10</t>
  </si>
  <si>
    <t>Giant Leggings +5</t>
  </si>
  <si>
    <t>Giant Gauntlets +5</t>
  </si>
  <si>
    <t>Sage Robe +5</t>
  </si>
  <si>
    <t>Elite Cleric Armor +10</t>
  </si>
  <si>
    <t>Steel Armor +10</t>
  </si>
  <si>
    <t>Armor of Thorns +5</t>
  </si>
  <si>
    <t>Dark Armor +5</t>
  </si>
  <si>
    <t>Eastern Armor +5</t>
  </si>
  <si>
    <t>Embraced Armor of Favor +5</t>
  </si>
  <si>
    <t>Brass Armor +5</t>
  </si>
  <si>
    <t>Silver Knight Armor +5</t>
  </si>
  <si>
    <t>Black Knight Armor +5</t>
  </si>
  <si>
    <t>Catarina Armor +5</t>
  </si>
  <si>
    <t>Paladin Armor +5</t>
  </si>
  <si>
    <t>Black Iron Armor +5</t>
  </si>
  <si>
    <t>Giant Armor +5</t>
  </si>
  <si>
    <t>Cannot Upgrade</t>
  </si>
  <si>
    <t>Sort ID</t>
  </si>
  <si>
    <t>Armor Slot</t>
  </si>
  <si>
    <t>Hands</t>
  </si>
  <si>
    <t>Upgrade Type</t>
  </si>
  <si>
    <t>Weapon Type</t>
  </si>
  <si>
    <t>Composite</t>
  </si>
  <si>
    <t>Enchanted</t>
  </si>
  <si>
    <t>Divine</t>
  </si>
  <si>
    <t>Occult</t>
  </si>
  <si>
    <t>Demon</t>
  </si>
  <si>
    <t>Mix</t>
  </si>
  <si>
    <t>PhysDef Rate</t>
  </si>
  <si>
    <t>MDef Rate</t>
  </si>
  <si>
    <t>FDef Rate</t>
  </si>
  <si>
    <t>TDef Rate</t>
  </si>
  <si>
    <t>Poise</t>
  </si>
  <si>
    <t>Posie Rate</t>
  </si>
  <si>
    <t>PoiseDamage</t>
  </si>
  <si>
    <t>24/18/20/20</t>
  </si>
  <si>
    <t>24/18/18/18</t>
  </si>
  <si>
    <t>22/18/18/18</t>
  </si>
  <si>
    <t>Class Name</t>
  </si>
  <si>
    <t>Starting Level</t>
  </si>
  <si>
    <t>Vitality</t>
  </si>
  <si>
    <t>Attunement</t>
  </si>
  <si>
    <t>Endurance</t>
  </si>
  <si>
    <t>Strength</t>
  </si>
  <si>
    <t>Dexterity</t>
  </si>
  <si>
    <t>Resistance</t>
  </si>
  <si>
    <t>Intelligence</t>
  </si>
  <si>
    <t>Faith</t>
  </si>
  <si>
    <t>Warrior</t>
  </si>
  <si>
    <t>Wanderer</t>
  </si>
  <si>
    <t>Bandit</t>
  </si>
  <si>
    <t>Hunter</t>
  </si>
  <si>
    <t>Sorcerer</t>
  </si>
  <si>
    <t>Pyromancer</t>
  </si>
  <si>
    <t>Cleric</t>
  </si>
  <si>
    <t>Deprived</t>
  </si>
  <si>
    <t>Class</t>
  </si>
  <si>
    <t>Attribute</t>
  </si>
  <si>
    <t>Initial</t>
  </si>
  <si>
    <t>Current</t>
  </si>
  <si>
    <t>Thief</t>
  </si>
  <si>
    <t>Weight Capacity</t>
  </si>
  <si>
    <t>Chest</t>
  </si>
  <si>
    <t>5/8/0/0</t>
  </si>
  <si>
    <t>5/14/0/0</t>
  </si>
  <si>
    <t>10/5/0/0</t>
  </si>
  <si>
    <t>6/12/0/0</t>
  </si>
  <si>
    <t>6/20/0/0</t>
  </si>
  <si>
    <t>6/25/0/0</t>
  </si>
  <si>
    <t>8/10/0/0</t>
  </si>
  <si>
    <t>10/10/0/0</t>
  </si>
  <si>
    <t>8/8/0/0</t>
  </si>
  <si>
    <t>10/14/0/0</t>
  </si>
  <si>
    <t>16/10/0/0</t>
  </si>
  <si>
    <t>12/12/0/0</t>
  </si>
  <si>
    <t>16/22/0/0</t>
  </si>
  <si>
    <t>10/10/0/14</t>
  </si>
  <si>
    <t>16/16/0/0</t>
  </si>
  <si>
    <t>6/6/0/0</t>
  </si>
  <si>
    <t>24/0/0/0</t>
  </si>
  <si>
    <t>16/14/0/0</t>
  </si>
  <si>
    <t>20/10/0/0</t>
  </si>
  <si>
    <t>40/10/0/0</t>
  </si>
  <si>
    <t>16/10/28/0</t>
  </si>
  <si>
    <t>20/18/0/0</t>
  </si>
  <si>
    <t>20/16/0/0</t>
  </si>
  <si>
    <t>24/10/0/0</t>
  </si>
  <si>
    <t>28/10/0/0</t>
  </si>
  <si>
    <t>40/0/0/0</t>
  </si>
  <si>
    <t>50/10/0/0</t>
  </si>
  <si>
    <t>32/18/0/0</t>
  </si>
  <si>
    <t>7/13/0/0</t>
  </si>
  <si>
    <t>9/13/0/0</t>
  </si>
  <si>
    <t>9/14/0/0</t>
  </si>
  <si>
    <t>7/0/0/0</t>
  </si>
  <si>
    <t>7/20/0/0</t>
  </si>
  <si>
    <t>11/13/0/0</t>
  </si>
  <si>
    <t>9/25/0/0</t>
  </si>
  <si>
    <t>24/13/0/0</t>
  </si>
  <si>
    <t>28/13/0/0</t>
  </si>
  <si>
    <t>14/14/0/0</t>
  </si>
  <si>
    <t>14/20/0/0</t>
  </si>
  <si>
    <t>5/12/0/0</t>
  </si>
  <si>
    <t>7/12/0/0</t>
  </si>
  <si>
    <t>10/12/0/0</t>
  </si>
  <si>
    <t>8/16/16/0</t>
  </si>
  <si>
    <t>8/20/0/0</t>
  </si>
  <si>
    <t>12/8/0/0</t>
  </si>
  <si>
    <t>18/12/0/16</t>
  </si>
  <si>
    <t>36/8/0/0</t>
  </si>
  <si>
    <t>32/8/0/0</t>
  </si>
  <si>
    <t>46/0/0/0</t>
  </si>
  <si>
    <t>50/8/0/0</t>
  </si>
  <si>
    <t>36/18/0/0</t>
  </si>
  <si>
    <t>48/10/0/0</t>
  </si>
  <si>
    <t>10/0/0/0</t>
  </si>
  <si>
    <t>12/0/0/0</t>
  </si>
  <si>
    <t>11/0/0/0</t>
  </si>
  <si>
    <t>11/10/0/0</t>
  </si>
  <si>
    <t>14/0/0/0</t>
  </si>
  <si>
    <t>16/0/0/0</t>
  </si>
  <si>
    <t>28/0/0/0</t>
  </si>
  <si>
    <t>50/0/0/30</t>
  </si>
  <si>
    <t>26/0/0/0</t>
  </si>
  <si>
    <t>58/0/0/0</t>
  </si>
  <si>
    <t>0/0/0/0</t>
  </si>
  <si>
    <t>6/14/0/0</t>
  </si>
  <si>
    <t>20/0/0/0</t>
  </si>
  <si>
    <t>13/15/0/0</t>
  </si>
  <si>
    <t>13/12/0/0</t>
  </si>
  <si>
    <t>12/10/0/0</t>
  </si>
  <si>
    <t>16/16/24/0</t>
  </si>
  <si>
    <t>24/24/0/0</t>
  </si>
  <si>
    <t>12/0/14/0</t>
  </si>
  <si>
    <t>15/12/0/0</t>
  </si>
  <si>
    <t>16/12/0/0</t>
  </si>
  <si>
    <t>36/12/0/0</t>
  </si>
  <si>
    <t>14/12/0/0</t>
  </si>
  <si>
    <t>13/14/0/0</t>
  </si>
  <si>
    <t>13/18/0/0</t>
  </si>
  <si>
    <t>30/20/0/0</t>
  </si>
  <si>
    <t>10/16/0/16</t>
  </si>
  <si>
    <t>40/20/0/0</t>
  </si>
  <si>
    <t>10/8/0/0</t>
  </si>
  <si>
    <t>14/8/0/0</t>
  </si>
  <si>
    <t>6/0/10/0</t>
  </si>
  <si>
    <t>10/10/12/0</t>
  </si>
  <si>
    <t>6/0/24/0</t>
  </si>
  <si>
    <t>4/0/0/16</t>
  </si>
  <si>
    <t>3/0/12/0</t>
  </si>
  <si>
    <t>7/0/32/0</t>
  </si>
  <si>
    <t>12/10/10/0</t>
  </si>
  <si>
    <t>6/0/14/0</t>
  </si>
  <si>
    <t>14/0/13/0</t>
  </si>
  <si>
    <t>4/0/0/0</t>
  </si>
  <si>
    <t>4/0/0/10</t>
  </si>
  <si>
    <t>4/0/0/14</t>
  </si>
  <si>
    <t>4/0/0/24</t>
  </si>
  <si>
    <t>4/0/16/0</t>
  </si>
  <si>
    <t>5/0/0/0</t>
  </si>
  <si>
    <t>6/0/0/0</t>
  </si>
  <si>
    <t>8/11/0/0</t>
  </si>
  <si>
    <t>8/0/0/0</t>
  </si>
  <si>
    <t>11/14/0/0</t>
  </si>
  <si>
    <t>10/0/0/16</t>
  </si>
  <si>
    <t>10/0/0/18</t>
  </si>
  <si>
    <t>30/0/0/0</t>
  </si>
  <si>
    <t>36/0/0/0</t>
  </si>
  <si>
    <t>38/0/0/0</t>
  </si>
  <si>
    <t>50/0/0/0</t>
  </si>
  <si>
    <t>34/0/0/0</t>
  </si>
  <si>
    <t>31/0/0/0</t>
  </si>
  <si>
    <t>7/14/0/0</t>
  </si>
  <si>
    <t>8/16/0/0</t>
  </si>
  <si>
    <t>15/10/0/0</t>
  </si>
  <si>
    <t>INT req</t>
  </si>
  <si>
    <t>Lucerne</t>
  </si>
  <si>
    <t>STR req</t>
  </si>
  <si>
    <t>DEX req</t>
  </si>
  <si>
    <t>FAI req</t>
  </si>
  <si>
    <t>Left Hand</t>
  </si>
  <si>
    <t>Right Hand</t>
  </si>
  <si>
    <t>Equiped</t>
  </si>
  <si>
    <t>Poise Damage</t>
  </si>
  <si>
    <t>Ring 2</t>
  </si>
  <si>
    <t>Empty</t>
  </si>
  <si>
    <t>Sort Order</t>
  </si>
  <si>
    <t>Roll</t>
  </si>
  <si>
    <t>Base Armor Name</t>
  </si>
  <si>
    <t>Sort</t>
  </si>
  <si>
    <t>STAT req</t>
  </si>
  <si>
    <t>S/D/I/F</t>
  </si>
  <si>
    <t>Current Weight</t>
  </si>
  <si>
    <t>%</t>
  </si>
  <si>
    <t>Level</t>
  </si>
  <si>
    <t>Start LVL</t>
  </si>
  <si>
    <t>Sources:</t>
  </si>
  <si>
    <t>https://docs.google.com/spreadsheets/d/1KukblWL61We64-gNIyaAShga9h8RTXYmyFs98eQhY4E/edit?gid=1949985688#gid=1949985688</t>
  </si>
  <si>
    <t>https://www.reddit.com/r/darksouls/comments/q5a79x/so_i_made_this_simple_spreadsheet_of_dark_souls/</t>
  </si>
  <si>
    <t>https://docs.google.com/spreadsheets/d/10y7h5qpAHn2PPCzsAKC_aA2CFfu-23JM_AXH53LV_kk/edit?gid=502196640#gid=502196640</t>
  </si>
  <si>
    <t>https://soulsplanner.com/darksouls</t>
  </si>
  <si>
    <t>Notes:</t>
  </si>
  <si>
    <t>I can make this match the darksouls planner but I don't have enough info on stat/weapon scaling, nor did I find a completed weapons sheet including all variations and levels of weapon upgrades/paths.  If someone is interested in working with me on this, i'd be happy to make improvements</t>
  </si>
  <si>
    <t>To Do List:</t>
  </si>
  <si>
    <t>Add weapon damage (like the dark souls planner)</t>
  </si>
  <si>
    <t>Add optimal class button (like dark souls planner)</t>
  </si>
  <si>
    <t>There are hidden sheets which are called.  In the dev version there are also xlVeryHidden sheets.</t>
  </si>
  <si>
    <t>Additional Sources:</t>
  </si>
  <si>
    <t>https://docs.google.com/spreadsheets/d/1F7iXpAsOuJOmmt4veTtpK-DkxG2tm_Em4bJcYzYBEN0/edit?gid=1224080854#gid=1224080854</t>
  </si>
  <si>
    <t>https://docs.google.com/spreadsheets/d/1jQBDy634TjqOYWNSOxjBlpaZqadkMZpHBo-eOEz2Alw/edit?gid=761489682#gid=761489682</t>
  </si>
  <si>
    <t>https://docs.google.com/spreadsheets/d/1Y6CmhaJaboLp68oUkMJnLctW0SrQr4Yjau-xVgogTK4/edit?gid=1006985514#gid=1006985514</t>
  </si>
  <si>
    <t>These are sources I have not used but am including in github downloads</t>
  </si>
  <si>
    <t>POISE</t>
  </si>
  <si>
    <t>Phys Defense</t>
  </si>
  <si>
    <t>Add addition options to optimal weapon button/user 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</si>
</sst>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7" x14ac:knownFonts="1">
    <font>
      <sz val="10"/>
      <color rgb="FF000000"/>
      <name val="Arial"/>
    </font>
    <font>
      <sz val="11"/>
      <color rgb="FF000000"/>
      <name val="Calibri"/>
      <family val="2"/>
    </font>
    <font>
      <sz val="10"/>
      <name val="Arial"/>
      <family val="2"/>
    </font>
    <font>
      <sz val="10"/>
      <color rgb="FF000000"/>
      <name val="Arial"/>
      <family val="2"/>
    </font>
    <font>
      <sz val="11"/>
      <color rgb="FF0D0D0D"/>
      <name val="Calibri"/>
      <family val="2"/>
    </font>
    <font>
      <sz val="10"/>
      <color rgb="FF0D0D0D"/>
      <name val="Arial"/>
      <family val="2"/>
    </font>
    <font>
      <sz val="11"/>
      <color theme="1" tint="4.9989318521683403E-2"/>
      <name val="Calibri"/>
      <family val="2"/>
    </font>
    <font>
      <sz val="11"/>
      <color rgb="FF0D0D0D"/>
      <name val="Calibri"/>
      <family val="2"/>
    </font>
    <font>
      <sz val="10"/>
      <color theme="1"/>
      <name val="Aptos Narrow"/>
      <family val="2"/>
      <scheme val="minor"/>
    </font>
    <font>
      <b/>
      <sz val="10"/>
      <color theme="1"/>
      <name val="Aptos Narrow"/>
      <family val="2"/>
      <scheme val="minor"/>
    </font>
    <font>
      <sz val="10"/>
      <color rgb="FFFFFFFF"/>
      <name val="Arial"/>
      <family val="2"/>
    </font>
    <font>
      <b/>
      <sz val="10"/>
      <color theme="1" tint="4.9989318521683403E-2"/>
      <name val="Arial"/>
      <family val="2"/>
    </font>
    <font>
      <b/>
      <sz val="10"/>
      <color theme="1"/>
      <name val="Aptos Narrow"/>
      <family val="2"/>
      <scheme val="minor"/>
    </font>
    <font>
      <sz val="10"/>
      <color rgb="FF000000"/>
      <name val="Arial"/>
      <family val="2"/>
    </font>
    <font>
      <sz val="10"/>
      <color theme="1"/>
      <name val="Aptos Narrow"/>
      <family val="2"/>
      <scheme val="minor"/>
    </font>
    <font>
      <b/>
      <sz val="10"/>
      <color theme="0"/>
      <name val="Arial"/>
      <family val="2"/>
    </font>
    <font>
      <sz val="10"/>
      <color theme="0"/>
      <name val="Arial"/>
      <family val="2"/>
    </font>
  </fonts>
  <fills count="16">
    <fill>
      <patternFill patternType="none"/>
    </fill>
    <fill>
      <patternFill patternType="gray125"/>
    </fill>
    <fill>
      <patternFill patternType="solid">
        <fgColor rgb="FF002060"/>
        <bgColor indexed="64"/>
      </patternFill>
    </fill>
    <fill>
      <patternFill patternType="solid">
        <fgColor rgb="FF7BEEFD"/>
        <bgColor indexed="64"/>
      </patternFill>
    </fill>
    <fill>
      <patternFill patternType="solid">
        <fgColor rgb="FF92D050"/>
        <bgColor indexed="64"/>
      </patternFill>
    </fill>
    <fill>
      <patternFill patternType="solid">
        <fgColor rgb="FF78909C"/>
        <bgColor rgb="FF78909C"/>
      </patternFill>
    </fill>
    <fill>
      <patternFill patternType="solid">
        <fgColor rgb="FFFFC000"/>
        <bgColor indexed="64"/>
      </patternFill>
    </fill>
    <fill>
      <patternFill patternType="solid">
        <fgColor rgb="FFF4CCCC"/>
        <bgColor rgb="FFF4CCCC"/>
      </patternFill>
    </fill>
    <fill>
      <patternFill patternType="solid">
        <fgColor rgb="FFFFF2CC"/>
        <bgColor rgb="FFFFF2CC"/>
      </patternFill>
    </fill>
    <fill>
      <patternFill patternType="solid">
        <fgColor rgb="FFC9DAF8"/>
        <bgColor rgb="FFC9DAF8"/>
      </patternFill>
    </fill>
    <fill>
      <patternFill patternType="solid">
        <fgColor rgb="FFFCE5CD"/>
        <bgColor rgb="FFFCE5CD"/>
      </patternFill>
    </fill>
    <fill>
      <patternFill patternType="solid">
        <fgColor rgb="FF00B0F0"/>
        <bgColor indexed="64"/>
      </patternFill>
    </fill>
    <fill>
      <patternFill patternType="solid">
        <fgColor theme="5" tint="0.59999389629810485"/>
        <bgColor indexed="64"/>
      </patternFill>
    </fill>
    <fill>
      <patternFill patternType="solid">
        <fgColor rgb="FF0070C0"/>
        <bgColor indexed="64"/>
      </patternFill>
    </fill>
    <fill>
      <patternFill patternType="solid">
        <fgColor theme="9" tint="0.59999389629810485"/>
        <bgColor indexed="64"/>
      </patternFill>
    </fill>
    <fill>
      <patternFill patternType="solid">
        <fgColor rgb="FFFFF2CC"/>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rgb="FF000000"/>
      </left>
      <right/>
      <top style="thin">
        <color rgb="FF000000"/>
      </top>
      <bottom/>
      <diagonal/>
    </border>
    <border>
      <left style="thin">
        <color indexed="64"/>
      </left>
      <right style="thin">
        <color rgb="FF000000"/>
      </right>
      <top style="thin">
        <color indexed="64"/>
      </top>
      <bottom style="thin">
        <color rgb="FF000000"/>
      </bottom>
      <diagonal/>
    </border>
    <border>
      <left style="thin">
        <color indexed="64"/>
      </left>
      <right/>
      <top style="thin">
        <color rgb="FF000000"/>
      </top>
      <bottom/>
      <diagonal/>
    </border>
    <border>
      <left style="thin">
        <color indexed="64"/>
      </left>
      <right style="thin">
        <color rgb="FF000000"/>
      </right>
      <top style="thin">
        <color rgb="FF000000"/>
      </top>
      <bottom/>
      <diagonal/>
    </border>
    <border>
      <left style="thin">
        <color rgb="FF000000"/>
      </left>
      <right/>
      <top style="thin">
        <color indexed="64"/>
      </top>
      <bottom/>
      <diagonal/>
    </border>
    <border>
      <left style="thin">
        <color indexed="64"/>
      </left>
      <right style="thin">
        <color rgb="FF000000"/>
      </right>
      <top style="thin">
        <color indexed="64"/>
      </top>
      <bottom/>
      <diagonal/>
    </border>
    <border>
      <left style="thin">
        <color rgb="FF000000"/>
      </left>
      <right/>
      <top style="thin">
        <color indexed="64"/>
      </top>
      <bottom style="thin">
        <color rgb="FF000000"/>
      </bottom>
      <diagonal/>
    </border>
    <border>
      <left style="thin">
        <color indexed="64"/>
      </left>
      <right/>
      <top style="thin">
        <color indexed="64"/>
      </top>
      <bottom style="thin">
        <color rgb="FF000000"/>
      </bottom>
      <diagonal/>
    </border>
  </borders>
  <cellStyleXfs count="1">
    <xf numFmtId="0" fontId="0" fillId="0" borderId="0"/>
  </cellStyleXfs>
  <cellXfs count="40">
    <xf numFmtId="0" fontId="0" fillId="0" borderId="0" xfId="0" applyAlignment="1">
      <alignment wrapText="1"/>
    </xf>
    <xf numFmtId="0" fontId="1" fillId="0" borderId="0" xfId="0" applyFont="1" applyAlignment="1">
      <alignment wrapText="1"/>
    </xf>
    <xf numFmtId="0" fontId="1" fillId="0" borderId="0" xfId="0" applyFont="1"/>
    <xf numFmtId="0" fontId="2" fillId="0" borderId="2" xfId="0" applyFont="1" applyBorder="1" applyAlignment="1">
      <alignment wrapText="1"/>
    </xf>
    <xf numFmtId="0" fontId="4" fillId="3" borderId="1" xfId="0" applyFont="1" applyFill="1" applyBorder="1"/>
    <xf numFmtId="0" fontId="5" fillId="3" borderId="1" xfId="0" applyFont="1" applyFill="1" applyBorder="1" applyAlignment="1">
      <alignment wrapText="1"/>
    </xf>
    <xf numFmtId="0" fontId="6" fillId="4" borderId="1" xfId="0" applyFont="1" applyFill="1" applyBorder="1" applyAlignment="1">
      <alignment wrapText="1"/>
    </xf>
    <xf numFmtId="0" fontId="7" fillId="3" borderId="1" xfId="0" applyFont="1" applyFill="1" applyBorder="1"/>
    <xf numFmtId="0" fontId="2" fillId="5" borderId="3" xfId="0" applyFont="1" applyFill="1" applyBorder="1" applyAlignment="1">
      <alignment wrapText="1"/>
    </xf>
    <xf numFmtId="0" fontId="2" fillId="5" borderId="5" xfId="0" applyFont="1" applyFill="1" applyBorder="1" applyAlignment="1">
      <alignment wrapText="1"/>
    </xf>
    <xf numFmtId="0" fontId="2" fillId="5" borderId="6" xfId="0" applyFont="1" applyFill="1" applyBorder="1" applyAlignment="1">
      <alignment wrapText="1"/>
    </xf>
    <xf numFmtId="0" fontId="2" fillId="0" borderId="7" xfId="0" applyFont="1" applyBorder="1" applyAlignment="1">
      <alignment wrapText="1"/>
    </xf>
    <xf numFmtId="0" fontId="2" fillId="0" borderId="8" xfId="0" applyFont="1" applyBorder="1" applyAlignment="1">
      <alignment wrapText="1"/>
    </xf>
    <xf numFmtId="0" fontId="2" fillId="0" borderId="9" xfId="0" applyFont="1" applyBorder="1" applyAlignment="1">
      <alignment wrapText="1"/>
    </xf>
    <xf numFmtId="0" fontId="2" fillId="0" borderId="10" xfId="0" applyFont="1" applyBorder="1" applyAlignment="1">
      <alignment wrapText="1"/>
    </xf>
    <xf numFmtId="0" fontId="2" fillId="0" borderId="4" xfId="0" applyFont="1" applyBorder="1" applyAlignment="1">
      <alignment wrapText="1"/>
    </xf>
    <xf numFmtId="0" fontId="6" fillId="6" borderId="1" xfId="0" applyFont="1" applyFill="1" applyBorder="1" applyAlignment="1">
      <alignment wrapText="1"/>
    </xf>
    <xf numFmtId="0" fontId="0" fillId="0" borderId="0" xfId="0"/>
    <xf numFmtId="0" fontId="10" fillId="2" borderId="1" xfId="0" applyFont="1" applyFill="1" applyBorder="1" applyAlignment="1">
      <alignment wrapText="1"/>
    </xf>
    <xf numFmtId="49" fontId="0" fillId="0" borderId="0" xfId="0" applyNumberFormat="1"/>
    <xf numFmtId="0" fontId="9" fillId="7" borderId="1" xfId="0" applyFont="1" applyFill="1" applyBorder="1" applyAlignment="1">
      <alignment horizontal="left" vertical="center"/>
    </xf>
    <xf numFmtId="164" fontId="8" fillId="10" borderId="1" xfId="0" applyNumberFormat="1" applyFont="1" applyFill="1" applyBorder="1" applyAlignment="1">
      <alignment horizontal="center" vertical="center"/>
    </xf>
    <xf numFmtId="0" fontId="8" fillId="9" borderId="1" xfId="0" applyFont="1" applyFill="1" applyBorder="1" applyAlignment="1">
      <alignment horizontal="center" vertical="center"/>
    </xf>
    <xf numFmtId="0" fontId="8" fillId="8" borderId="1" xfId="0" applyFont="1" applyFill="1" applyBorder="1" applyAlignment="1">
      <alignment horizontal="center" vertical="center"/>
    </xf>
    <xf numFmtId="49" fontId="14" fillId="8" borderId="1" xfId="0" applyNumberFormat="1" applyFont="1" applyFill="1" applyBorder="1" applyAlignment="1">
      <alignment horizontal="center" vertical="center"/>
    </xf>
    <xf numFmtId="49" fontId="0" fillId="15" borderId="1" xfId="0" applyNumberFormat="1" applyFill="1" applyBorder="1"/>
    <xf numFmtId="0" fontId="8" fillId="7" borderId="1" xfId="0" applyFont="1" applyFill="1" applyBorder="1" applyAlignment="1">
      <alignment horizontal="left" vertical="center"/>
    </xf>
    <xf numFmtId="0" fontId="12" fillId="7" borderId="1" xfId="0" applyFont="1" applyFill="1" applyBorder="1" applyAlignment="1">
      <alignment horizontal="left" vertical="center"/>
    </xf>
    <xf numFmtId="0" fontId="0" fillId="14" borderId="1" xfId="0" applyFill="1" applyBorder="1" applyAlignment="1" applyProtection="1">
      <alignment horizontal="center" wrapText="1"/>
      <protection locked="0"/>
    </xf>
    <xf numFmtId="0" fontId="0" fillId="0" borderId="0" xfId="0" applyAlignment="1">
      <alignment horizontal="center" wrapText="1"/>
    </xf>
    <xf numFmtId="0" fontId="0" fillId="12" borderId="1" xfId="0" applyFill="1" applyBorder="1" applyAlignment="1">
      <alignment horizontal="center" wrapText="1"/>
    </xf>
    <xf numFmtId="10" fontId="0" fillId="12" borderId="1" xfId="0" applyNumberFormat="1" applyFill="1" applyBorder="1" applyAlignment="1">
      <alignment horizontal="center" wrapText="1"/>
    </xf>
    <xf numFmtId="0" fontId="11" fillId="11" borderId="1" xfId="0" applyFont="1" applyFill="1" applyBorder="1" applyAlignment="1">
      <alignment horizontal="center" wrapText="1"/>
    </xf>
    <xf numFmtId="0" fontId="11" fillId="11" borderId="1" xfId="0" applyFont="1" applyFill="1" applyBorder="1" applyAlignment="1">
      <alignment horizontal="left" wrapText="1"/>
    </xf>
    <xf numFmtId="0" fontId="10" fillId="13" borderId="1" xfId="0" applyFont="1" applyFill="1" applyBorder="1" applyAlignment="1">
      <alignment wrapText="1"/>
    </xf>
    <xf numFmtId="0" fontId="13" fillId="0" borderId="0" xfId="0" applyFont="1" applyAlignment="1">
      <alignment wrapText="1"/>
    </xf>
    <xf numFmtId="0" fontId="13" fillId="0" borderId="0" xfId="0" applyFont="1" applyAlignment="1">
      <alignment horizontal="center" wrapText="1"/>
    </xf>
    <xf numFmtId="0" fontId="15" fillId="0" borderId="0" xfId="0" applyFont="1" applyAlignment="1">
      <alignment horizontal="center" wrapText="1"/>
    </xf>
    <xf numFmtId="0" fontId="16" fillId="0" borderId="0" xfId="0" applyFont="1" applyAlignment="1">
      <alignment horizontal="center" wrapText="1"/>
    </xf>
    <xf numFmtId="0" fontId="0" fillId="0" borderId="0" xfId="0" applyAlignment="1">
      <alignment vertical="top" wrapText="1"/>
    </xf>
  </cellXfs>
  <cellStyles count="1">
    <cellStyle name="Normal" xfId="0" builtinId="0"/>
  </cellStyles>
  <dxfs count="18">
    <dxf>
      <fill>
        <patternFill>
          <bgColor rgb="FFFF0000"/>
        </patternFill>
      </fill>
    </dxf>
    <dxf>
      <fill>
        <patternFill>
          <bgColor rgb="FF00FF00"/>
        </patternFill>
      </fill>
    </dxf>
    <dxf>
      <fill>
        <patternFill>
          <bgColor rgb="FFFF9900"/>
        </patternFill>
      </fill>
    </dxf>
    <dxf>
      <fill>
        <patternFill>
          <bgColor rgb="FFFF0000"/>
        </patternFill>
      </fill>
    </dxf>
    <dxf>
      <font>
        <color rgb="FFB7B7B7"/>
      </font>
      <fill>
        <patternFill patternType="none"/>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FFFFFF"/>
          <bgColor rgb="FFFFFFFF"/>
        </patternFill>
      </fill>
    </dxf>
    <dxf>
      <fill>
        <patternFill patternType="solid">
          <fgColor rgb="FFE8E7FC"/>
          <bgColor rgb="FFE8E7FC"/>
        </patternFill>
      </fill>
    </dxf>
    <dxf>
      <fill>
        <patternFill patternType="solid">
          <fgColor rgb="FFE8E7FC"/>
          <bgColor rgb="FFE8E7FC"/>
        </patternFill>
      </fill>
    </dxf>
    <dxf>
      <fill>
        <patternFill patternType="solid">
          <fgColor rgb="FFFFFFFF"/>
          <bgColor rgb="FFFFFFFF"/>
        </patternFill>
      </fill>
    </dxf>
    <dxf>
      <fill>
        <patternFill patternType="solid">
          <fgColor rgb="FFE8E7FC"/>
          <bgColor rgb="FFE8E7FC"/>
        </patternFill>
      </fill>
    </dxf>
    <dxf>
      <fill>
        <patternFill patternType="solid">
          <fgColor rgb="FFFFFFFF"/>
          <bgColor rgb="FFFFFFFF"/>
        </patternFill>
      </fill>
    </dxf>
    <dxf>
      <fill>
        <patternFill patternType="solid">
          <fgColor rgb="FF8989EB"/>
          <bgColor rgb="FF8989EB"/>
        </patternFill>
      </fill>
    </dxf>
  </dxfs>
  <tableStyles count="5">
    <tableStyle name="Item lots-style" pivot="0" count="3" xr9:uid="{00000000-0011-0000-FFFF-FFFF00000000}">
      <tableStyleElement type="headerRow" dxfId="17"/>
      <tableStyleElement type="firstRowStripe" dxfId="16"/>
      <tableStyleElement type="secondRowStripe" dxfId="15"/>
    </tableStyle>
    <tableStyle name="NPC names-style" pivot="0" count="2" xr9:uid="{00000000-0011-0000-FFFF-FFFF01000000}">
      <tableStyleElement type="firstRowStripe" dxfId="14"/>
      <tableStyleElement type="secondRowStripe" dxfId="13"/>
    </tableStyle>
    <tableStyle name="NPC names-style 2" pivot="0" count="2" xr9:uid="{00000000-0011-0000-FFFF-FFFF02000000}">
      <tableStyleElement type="firstRowStripe" dxfId="12"/>
      <tableStyleElement type="secondRowStripe" dxfId="11"/>
    </tableStyle>
    <tableStyle name="Weapons-style" pivot="0" count="3" xr9:uid="{00000000-0011-0000-FFFF-FFFF03000000}">
      <tableStyleElement type="headerRow" dxfId="10"/>
      <tableStyleElement type="firstRowStripe" dxfId="9"/>
      <tableStyleElement type="secondRowStripe" dxfId="8"/>
    </tableStyle>
    <tableStyle name="Weapon upgrades-style" pivot="0" count="3" xr9:uid="{00000000-0011-0000-FFFF-FFFF04000000}">
      <tableStyleElement type="headerRow" dxfId="7"/>
      <tableStyleElement type="firstRowStripe" dxfId="6"/>
      <tableStyleElement type="secondRowStripe" dxfId="5"/>
    </tableStyle>
  </tableStyles>
  <colors>
    <mruColors>
      <color rgb="FFFF990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4</xdr:col>
      <xdr:colOff>85412</xdr:colOff>
      <xdr:row>7</xdr:row>
      <xdr:rowOff>6042</xdr:rowOff>
    </xdr:from>
    <xdr:to>
      <xdr:col>4</xdr:col>
      <xdr:colOff>228402</xdr:colOff>
      <xdr:row>7</xdr:row>
      <xdr:rowOff>153593</xdr:rowOff>
    </xdr:to>
    <xdr:sp macro="[0]!Modify_Attribute" textlink="">
      <xdr:nvSpPr>
        <xdr:cNvPr id="2" name="plus_vitality">
          <a:extLst>
            <a:ext uri="{FF2B5EF4-FFF2-40B4-BE49-F238E27FC236}">
              <a16:creationId xmlns:a16="http://schemas.microsoft.com/office/drawing/2014/main" id="{FB17FBA7-7C48-40A0-85A1-647784A6BE50}"/>
            </a:ext>
          </a:extLst>
        </xdr:cNvPr>
        <xdr:cNvSpPr/>
      </xdr:nvSpPr>
      <xdr:spPr>
        <a:xfrm>
          <a:off x="2162327" y="958542"/>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7</xdr:row>
      <xdr:rowOff>6042</xdr:rowOff>
    </xdr:from>
    <xdr:to>
      <xdr:col>4</xdr:col>
      <xdr:colOff>428946</xdr:colOff>
      <xdr:row>7</xdr:row>
      <xdr:rowOff>153593</xdr:rowOff>
    </xdr:to>
    <xdr:sp macro="[0]!Modify_Attribute" textlink="">
      <xdr:nvSpPr>
        <xdr:cNvPr id="3" name="minus_vitality">
          <a:extLst>
            <a:ext uri="{FF2B5EF4-FFF2-40B4-BE49-F238E27FC236}">
              <a16:creationId xmlns:a16="http://schemas.microsoft.com/office/drawing/2014/main" id="{68654384-0FFE-4B72-B1C2-92901645318E}"/>
            </a:ext>
          </a:extLst>
        </xdr:cNvPr>
        <xdr:cNvSpPr/>
      </xdr:nvSpPr>
      <xdr:spPr>
        <a:xfrm>
          <a:off x="2360570" y="958542"/>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8</xdr:row>
      <xdr:rowOff>7524</xdr:rowOff>
    </xdr:from>
    <xdr:to>
      <xdr:col>4</xdr:col>
      <xdr:colOff>228402</xdr:colOff>
      <xdr:row>8</xdr:row>
      <xdr:rowOff>155076</xdr:rowOff>
    </xdr:to>
    <xdr:sp macro="[0]!Modify_Attribute" textlink="">
      <xdr:nvSpPr>
        <xdr:cNvPr id="4" name="plus_attunement">
          <a:extLst>
            <a:ext uri="{FF2B5EF4-FFF2-40B4-BE49-F238E27FC236}">
              <a16:creationId xmlns:a16="http://schemas.microsoft.com/office/drawing/2014/main" id="{5B860E83-347E-47AF-86B4-3AC9F6697A0D}"/>
            </a:ext>
          </a:extLst>
        </xdr:cNvPr>
        <xdr:cNvSpPr/>
      </xdr:nvSpPr>
      <xdr:spPr>
        <a:xfrm>
          <a:off x="2162327" y="1122646"/>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8</xdr:row>
      <xdr:rowOff>2225</xdr:rowOff>
    </xdr:from>
    <xdr:to>
      <xdr:col>4</xdr:col>
      <xdr:colOff>428946</xdr:colOff>
      <xdr:row>8</xdr:row>
      <xdr:rowOff>148530</xdr:rowOff>
    </xdr:to>
    <xdr:sp macro="[0]!Modify_Attribute" textlink="">
      <xdr:nvSpPr>
        <xdr:cNvPr id="5" name="minus_attunement">
          <a:extLst>
            <a:ext uri="{FF2B5EF4-FFF2-40B4-BE49-F238E27FC236}">
              <a16:creationId xmlns:a16="http://schemas.microsoft.com/office/drawing/2014/main" id="{F972A060-5FB6-47DF-9B4F-B5A55BB49F31}"/>
            </a:ext>
          </a:extLst>
        </xdr:cNvPr>
        <xdr:cNvSpPr/>
      </xdr:nvSpPr>
      <xdr:spPr>
        <a:xfrm>
          <a:off x="2360570" y="1117347"/>
          <a:ext cx="145291" cy="146305"/>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9</xdr:row>
      <xdr:rowOff>7480</xdr:rowOff>
    </xdr:from>
    <xdr:to>
      <xdr:col>4</xdr:col>
      <xdr:colOff>228402</xdr:colOff>
      <xdr:row>9</xdr:row>
      <xdr:rowOff>155211</xdr:rowOff>
    </xdr:to>
    <xdr:sp macro="[0]!Modify_Attribute" textlink="">
      <xdr:nvSpPr>
        <xdr:cNvPr id="6" name="plus_endurance">
          <a:extLst>
            <a:ext uri="{FF2B5EF4-FFF2-40B4-BE49-F238E27FC236}">
              <a16:creationId xmlns:a16="http://schemas.microsoft.com/office/drawing/2014/main" id="{CE10E9B3-BF6E-46C2-8F99-3940774F8EC1}"/>
            </a:ext>
          </a:extLst>
        </xdr:cNvPr>
        <xdr:cNvSpPr/>
      </xdr:nvSpPr>
      <xdr:spPr>
        <a:xfrm>
          <a:off x="2162327" y="1285224"/>
          <a:ext cx="142990" cy="14773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9</xdr:row>
      <xdr:rowOff>706</xdr:rowOff>
    </xdr:from>
    <xdr:to>
      <xdr:col>4</xdr:col>
      <xdr:colOff>428946</xdr:colOff>
      <xdr:row>9</xdr:row>
      <xdr:rowOff>144439</xdr:rowOff>
    </xdr:to>
    <xdr:sp macro="[0]!Modify_Attribute" textlink="">
      <xdr:nvSpPr>
        <xdr:cNvPr id="7" name="minus_endurance">
          <a:extLst>
            <a:ext uri="{FF2B5EF4-FFF2-40B4-BE49-F238E27FC236}">
              <a16:creationId xmlns:a16="http://schemas.microsoft.com/office/drawing/2014/main" id="{3EDA43D8-222E-4479-8A2E-449BA925B305}"/>
            </a:ext>
          </a:extLst>
        </xdr:cNvPr>
        <xdr:cNvSpPr/>
      </xdr:nvSpPr>
      <xdr:spPr>
        <a:xfrm>
          <a:off x="2360570" y="1276249"/>
          <a:ext cx="145291" cy="145934"/>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10</xdr:row>
      <xdr:rowOff>9096</xdr:rowOff>
    </xdr:from>
    <xdr:to>
      <xdr:col>4</xdr:col>
      <xdr:colOff>228402</xdr:colOff>
      <xdr:row>10</xdr:row>
      <xdr:rowOff>156647</xdr:rowOff>
    </xdr:to>
    <xdr:sp macro="[0]!Modify_Attribute" textlink="">
      <xdr:nvSpPr>
        <xdr:cNvPr id="8" name="plus_strength">
          <a:extLst>
            <a:ext uri="{FF2B5EF4-FFF2-40B4-BE49-F238E27FC236}">
              <a16:creationId xmlns:a16="http://schemas.microsoft.com/office/drawing/2014/main" id="{BB3883AC-0B4B-4F1E-94BB-1ED8F855E0F8}"/>
            </a:ext>
          </a:extLst>
        </xdr:cNvPr>
        <xdr:cNvSpPr/>
      </xdr:nvSpPr>
      <xdr:spPr>
        <a:xfrm>
          <a:off x="2162327" y="1449462"/>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10</xdr:row>
      <xdr:rowOff>1506</xdr:rowOff>
    </xdr:from>
    <xdr:to>
      <xdr:col>4</xdr:col>
      <xdr:colOff>428946</xdr:colOff>
      <xdr:row>10</xdr:row>
      <xdr:rowOff>145875</xdr:rowOff>
    </xdr:to>
    <xdr:sp macro="[0]!Modify_Attribute" textlink="">
      <xdr:nvSpPr>
        <xdr:cNvPr id="9" name="minus_strength">
          <a:extLst>
            <a:ext uri="{FF2B5EF4-FFF2-40B4-BE49-F238E27FC236}">
              <a16:creationId xmlns:a16="http://schemas.microsoft.com/office/drawing/2014/main" id="{F0003801-E7CA-4852-9B63-DEB7709FFA9E}"/>
            </a:ext>
          </a:extLst>
        </xdr:cNvPr>
        <xdr:cNvSpPr/>
      </xdr:nvSpPr>
      <xdr:spPr>
        <a:xfrm>
          <a:off x="2360570" y="1441872"/>
          <a:ext cx="145291" cy="144369"/>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11</xdr:row>
      <xdr:rowOff>8197</xdr:rowOff>
    </xdr:from>
    <xdr:to>
      <xdr:col>4</xdr:col>
      <xdr:colOff>228402</xdr:colOff>
      <xdr:row>11</xdr:row>
      <xdr:rowOff>155749</xdr:rowOff>
    </xdr:to>
    <xdr:sp macro="[0]!Modify_Attribute" textlink="">
      <xdr:nvSpPr>
        <xdr:cNvPr id="10" name="plus_dexterity">
          <a:extLst>
            <a:ext uri="{FF2B5EF4-FFF2-40B4-BE49-F238E27FC236}">
              <a16:creationId xmlns:a16="http://schemas.microsoft.com/office/drawing/2014/main" id="{E36FB334-1E2F-4673-A416-651CF2B8FA86}"/>
            </a:ext>
          </a:extLst>
        </xdr:cNvPr>
        <xdr:cNvSpPr/>
      </xdr:nvSpPr>
      <xdr:spPr>
        <a:xfrm>
          <a:off x="2162327" y="1611185"/>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11</xdr:row>
      <xdr:rowOff>8197</xdr:rowOff>
    </xdr:from>
    <xdr:to>
      <xdr:col>4</xdr:col>
      <xdr:colOff>428946</xdr:colOff>
      <xdr:row>11</xdr:row>
      <xdr:rowOff>155749</xdr:rowOff>
    </xdr:to>
    <xdr:sp macro="[0]!Modify_Attribute" textlink="">
      <xdr:nvSpPr>
        <xdr:cNvPr id="11" name="minus_dexterity">
          <a:extLst>
            <a:ext uri="{FF2B5EF4-FFF2-40B4-BE49-F238E27FC236}">
              <a16:creationId xmlns:a16="http://schemas.microsoft.com/office/drawing/2014/main" id="{789A1515-7DAF-4263-AAD8-CB72CC57B689}"/>
            </a:ext>
          </a:extLst>
        </xdr:cNvPr>
        <xdr:cNvSpPr/>
      </xdr:nvSpPr>
      <xdr:spPr>
        <a:xfrm>
          <a:off x="2360570" y="1611185"/>
          <a:ext cx="145291" cy="147552"/>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12</xdr:row>
      <xdr:rowOff>405</xdr:rowOff>
    </xdr:from>
    <xdr:to>
      <xdr:col>4</xdr:col>
      <xdr:colOff>228402</xdr:colOff>
      <xdr:row>12</xdr:row>
      <xdr:rowOff>145156</xdr:rowOff>
    </xdr:to>
    <xdr:sp macro="[0]!Modify_Attribute" textlink="">
      <xdr:nvSpPr>
        <xdr:cNvPr id="12" name="plus_resistance">
          <a:extLst>
            <a:ext uri="{FF2B5EF4-FFF2-40B4-BE49-F238E27FC236}">
              <a16:creationId xmlns:a16="http://schemas.microsoft.com/office/drawing/2014/main" id="{D7FF957A-9EF8-45AD-993D-7C6FBC163BA6}"/>
            </a:ext>
          </a:extLst>
        </xdr:cNvPr>
        <xdr:cNvSpPr/>
      </xdr:nvSpPr>
      <xdr:spPr>
        <a:xfrm>
          <a:off x="2162327" y="1766015"/>
          <a:ext cx="142990" cy="1447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12</xdr:row>
      <xdr:rowOff>405</xdr:rowOff>
    </xdr:from>
    <xdr:to>
      <xdr:col>4</xdr:col>
      <xdr:colOff>428946</xdr:colOff>
      <xdr:row>12</xdr:row>
      <xdr:rowOff>145156</xdr:rowOff>
    </xdr:to>
    <xdr:sp macro="[0]!Modify_Attribute" textlink="">
      <xdr:nvSpPr>
        <xdr:cNvPr id="13" name="minus_resistance">
          <a:extLst>
            <a:ext uri="{FF2B5EF4-FFF2-40B4-BE49-F238E27FC236}">
              <a16:creationId xmlns:a16="http://schemas.microsoft.com/office/drawing/2014/main" id="{9226DA1E-FB79-4D61-9C7B-B6A68F6E9F7E}"/>
            </a:ext>
          </a:extLst>
        </xdr:cNvPr>
        <xdr:cNvSpPr/>
      </xdr:nvSpPr>
      <xdr:spPr>
        <a:xfrm>
          <a:off x="2360570" y="1766015"/>
          <a:ext cx="145291" cy="1447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13</xdr:row>
      <xdr:rowOff>3884</xdr:rowOff>
    </xdr:from>
    <xdr:to>
      <xdr:col>4</xdr:col>
      <xdr:colOff>228402</xdr:colOff>
      <xdr:row>13</xdr:row>
      <xdr:rowOff>153142</xdr:rowOff>
    </xdr:to>
    <xdr:sp macro="[0]!Modify_Attribute" textlink="">
      <xdr:nvSpPr>
        <xdr:cNvPr id="14" name="plus_intelligence">
          <a:extLst>
            <a:ext uri="{FF2B5EF4-FFF2-40B4-BE49-F238E27FC236}">
              <a16:creationId xmlns:a16="http://schemas.microsoft.com/office/drawing/2014/main" id="{75456D7A-20C9-46C0-BC6F-1528801C76C3}"/>
            </a:ext>
          </a:extLst>
        </xdr:cNvPr>
        <xdr:cNvSpPr/>
      </xdr:nvSpPr>
      <xdr:spPr>
        <a:xfrm>
          <a:off x="2162327" y="1932116"/>
          <a:ext cx="142990" cy="149258"/>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13</xdr:row>
      <xdr:rowOff>3884</xdr:rowOff>
    </xdr:from>
    <xdr:to>
      <xdr:col>4</xdr:col>
      <xdr:colOff>428946</xdr:colOff>
      <xdr:row>13</xdr:row>
      <xdr:rowOff>153142</xdr:rowOff>
    </xdr:to>
    <xdr:sp macro="[0]!Modify_Attribute" textlink="">
      <xdr:nvSpPr>
        <xdr:cNvPr id="15" name="minus_intelligence">
          <a:extLst>
            <a:ext uri="{FF2B5EF4-FFF2-40B4-BE49-F238E27FC236}">
              <a16:creationId xmlns:a16="http://schemas.microsoft.com/office/drawing/2014/main" id="{AD34B721-F2F7-4B35-A871-20E620B62F8D}"/>
            </a:ext>
          </a:extLst>
        </xdr:cNvPr>
        <xdr:cNvSpPr/>
      </xdr:nvSpPr>
      <xdr:spPr>
        <a:xfrm>
          <a:off x="2360570" y="1932116"/>
          <a:ext cx="145291" cy="149258"/>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14</xdr:row>
      <xdr:rowOff>11253</xdr:rowOff>
    </xdr:from>
    <xdr:to>
      <xdr:col>4</xdr:col>
      <xdr:colOff>228402</xdr:colOff>
      <xdr:row>14</xdr:row>
      <xdr:rowOff>158804</xdr:rowOff>
    </xdr:to>
    <xdr:sp macro="[0]!Modify_Attribute" textlink="">
      <xdr:nvSpPr>
        <xdr:cNvPr id="16" name="plus_faith">
          <a:extLst>
            <a:ext uri="{FF2B5EF4-FFF2-40B4-BE49-F238E27FC236}">
              <a16:creationId xmlns:a16="http://schemas.microsoft.com/office/drawing/2014/main" id="{BB08E0CF-6676-48DA-88EE-34F5B4C1BB42}"/>
            </a:ext>
          </a:extLst>
        </xdr:cNvPr>
        <xdr:cNvSpPr/>
      </xdr:nvSpPr>
      <xdr:spPr>
        <a:xfrm>
          <a:off x="2162327" y="2102107"/>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14</xdr:row>
      <xdr:rowOff>11253</xdr:rowOff>
    </xdr:from>
    <xdr:to>
      <xdr:col>4</xdr:col>
      <xdr:colOff>428946</xdr:colOff>
      <xdr:row>14</xdr:row>
      <xdr:rowOff>158804</xdr:rowOff>
    </xdr:to>
    <xdr:sp macro="[0]!Modify_Attribute" textlink="">
      <xdr:nvSpPr>
        <xdr:cNvPr id="17" name="minus_faith">
          <a:extLst>
            <a:ext uri="{FF2B5EF4-FFF2-40B4-BE49-F238E27FC236}">
              <a16:creationId xmlns:a16="http://schemas.microsoft.com/office/drawing/2014/main" id="{46E40A0A-767F-4D4D-A0C9-D2100A0C61C8}"/>
            </a:ext>
          </a:extLst>
        </xdr:cNvPr>
        <xdr:cNvSpPr/>
      </xdr:nvSpPr>
      <xdr:spPr>
        <a:xfrm>
          <a:off x="2360570" y="2102107"/>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77203</xdr:colOff>
      <xdr:row>5</xdr:row>
      <xdr:rowOff>70184</xdr:rowOff>
    </xdr:from>
    <xdr:to>
      <xdr:col>11</xdr:col>
      <xdr:colOff>99301</xdr:colOff>
      <xdr:row>9</xdr:row>
      <xdr:rowOff>90237</xdr:rowOff>
    </xdr:to>
    <xdr:sp macro="[0]!BTN_Reset_Armor" textlink="">
      <xdr:nvSpPr>
        <xdr:cNvPr id="18" name="Rectangle: Rounded Corners 17">
          <a:extLst>
            <a:ext uri="{FF2B5EF4-FFF2-40B4-BE49-F238E27FC236}">
              <a16:creationId xmlns:a16="http://schemas.microsoft.com/office/drawing/2014/main" id="{EE8B6698-A0F4-4166-A650-969944A7D524}"/>
            </a:ext>
          </a:extLst>
        </xdr:cNvPr>
        <xdr:cNvSpPr/>
      </xdr:nvSpPr>
      <xdr:spPr>
        <a:xfrm>
          <a:off x="7707229" y="691816"/>
          <a:ext cx="1069848" cy="661737"/>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Reset Armor</a:t>
          </a:r>
        </a:p>
      </xdr:txBody>
    </xdr:sp>
    <xdr:clientData/>
  </xdr:twoCellAnchor>
  <xdr:twoCellAnchor editAs="absolute">
    <xdr:from>
      <xdr:col>10</xdr:col>
      <xdr:colOff>77203</xdr:colOff>
      <xdr:row>10</xdr:row>
      <xdr:rowOff>97255</xdr:rowOff>
    </xdr:from>
    <xdr:to>
      <xdr:col>11</xdr:col>
      <xdr:colOff>100264</xdr:colOff>
      <xdr:row>14</xdr:row>
      <xdr:rowOff>117308</xdr:rowOff>
    </xdr:to>
    <xdr:sp macro="[0]!BTN_Reset_Weapons" textlink="">
      <xdr:nvSpPr>
        <xdr:cNvPr id="19" name="Rectangle: Rounded Corners 18">
          <a:extLst>
            <a:ext uri="{FF2B5EF4-FFF2-40B4-BE49-F238E27FC236}">
              <a16:creationId xmlns:a16="http://schemas.microsoft.com/office/drawing/2014/main" id="{554A4DD7-0086-4D59-A588-CC73F06CD6A1}"/>
            </a:ext>
          </a:extLst>
        </xdr:cNvPr>
        <xdr:cNvSpPr/>
      </xdr:nvSpPr>
      <xdr:spPr>
        <a:xfrm>
          <a:off x="7707229" y="1520992"/>
          <a:ext cx="1070811" cy="661737"/>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Reset Weapons</a:t>
          </a:r>
        </a:p>
      </xdr:txBody>
    </xdr:sp>
    <xdr:clientData/>
  </xdr:twoCellAnchor>
  <xdr:twoCellAnchor editAs="absolute">
    <xdr:from>
      <xdr:col>7</xdr:col>
      <xdr:colOff>40107</xdr:colOff>
      <xdr:row>15</xdr:row>
      <xdr:rowOff>66174</xdr:rowOff>
    </xdr:from>
    <xdr:to>
      <xdr:col>9</xdr:col>
      <xdr:colOff>736934</xdr:colOff>
      <xdr:row>17</xdr:row>
      <xdr:rowOff>132347</xdr:rowOff>
    </xdr:to>
    <xdr:sp macro="[0]!BTN_SuggestBestArmor" textlink="">
      <xdr:nvSpPr>
        <xdr:cNvPr id="20" name="Rectangle: Rounded Corners 19">
          <a:extLst>
            <a:ext uri="{FF2B5EF4-FFF2-40B4-BE49-F238E27FC236}">
              <a16:creationId xmlns:a16="http://schemas.microsoft.com/office/drawing/2014/main" id="{17314D2D-0C16-4207-A796-EA75B5C67B99}"/>
            </a:ext>
          </a:extLst>
        </xdr:cNvPr>
        <xdr:cNvSpPr/>
      </xdr:nvSpPr>
      <xdr:spPr>
        <a:xfrm>
          <a:off x="5479383" y="2292016"/>
          <a:ext cx="2145630" cy="387015"/>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Suggest Armor</a:t>
          </a:r>
          <a:r>
            <a:rPr lang="en-US" sz="1200" b="1" baseline="0">
              <a:solidFill>
                <a:schemeClr val="bg1"/>
              </a:solidFill>
              <a:latin typeface="+mn-lt"/>
              <a:ea typeface="+mn-ea"/>
              <a:cs typeface="+mn-cs"/>
            </a:rPr>
            <a:t> for Empty Slots</a:t>
          </a:r>
          <a:endParaRPr lang="en-US" sz="1200" b="1">
            <a:solidFill>
              <a:schemeClr val="bg1"/>
            </a:solidFill>
            <a:latin typeface="+mn-lt"/>
            <a:ea typeface="+mn-ea"/>
            <a:cs typeface="+mn-cs"/>
          </a:endParaRPr>
        </a:p>
      </xdr:txBody>
    </xdr:sp>
    <xdr:clientData/>
  </xdr:twoCellAnchor>
  <xdr:twoCellAnchor editAs="absolute">
    <xdr:from>
      <xdr:col>10</xdr:col>
      <xdr:colOff>77203</xdr:colOff>
      <xdr:row>15</xdr:row>
      <xdr:rowOff>66174</xdr:rowOff>
    </xdr:from>
    <xdr:to>
      <xdr:col>11</xdr:col>
      <xdr:colOff>99301</xdr:colOff>
      <xdr:row>17</xdr:row>
      <xdr:rowOff>132347</xdr:rowOff>
    </xdr:to>
    <xdr:sp macro="[0]!BTN_Reset_Rings" textlink="">
      <xdr:nvSpPr>
        <xdr:cNvPr id="21" name="Rectangle: Rounded Corners 20">
          <a:extLst>
            <a:ext uri="{FF2B5EF4-FFF2-40B4-BE49-F238E27FC236}">
              <a16:creationId xmlns:a16="http://schemas.microsoft.com/office/drawing/2014/main" id="{1F04AC77-98CA-499F-8BBF-D007247CEBDB}"/>
            </a:ext>
          </a:extLst>
        </xdr:cNvPr>
        <xdr:cNvSpPr/>
      </xdr:nvSpPr>
      <xdr:spPr>
        <a:xfrm>
          <a:off x="7707229" y="2292016"/>
          <a:ext cx="1069848" cy="387015"/>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Reset Rings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A8707-E3F2-4338-8009-E3FA278347E8}">
  <sheetPr codeName="Sheet5" filterMode="1">
    <tabColor rgb="FF00B0F0"/>
  </sheetPr>
  <dimension ref="A1:AG38"/>
  <sheetViews>
    <sheetView workbookViewId="0">
      <selection activeCell="E57" sqref="E57"/>
    </sheetView>
  </sheetViews>
  <sheetFormatPr defaultColWidth="15.7109375" defaultRowHeight="12.75" x14ac:dyDescent="0.2"/>
  <cols>
    <col min="1" max="1" width="5" bestFit="1" customWidth="1"/>
    <col min="2" max="3" width="14.7109375" bestFit="1" customWidth="1"/>
    <col min="4" max="4" width="30" bestFit="1" customWidth="1"/>
    <col min="5" max="5" width="16.85546875" bestFit="1" customWidth="1"/>
    <col min="6" max="6" width="15" bestFit="1" customWidth="1"/>
    <col min="7" max="7" width="13.140625" bestFit="1" customWidth="1"/>
    <col min="8" max="8" width="16.7109375" bestFit="1" customWidth="1"/>
    <col min="9" max="9" width="17" bestFit="1" customWidth="1"/>
    <col min="10" max="10" width="19.28515625" bestFit="1" customWidth="1"/>
    <col min="11" max="11" width="17.28515625" bestFit="1" customWidth="1"/>
    <col min="12" max="12" width="20.42578125" bestFit="1" customWidth="1"/>
    <col min="13" max="13" width="18.42578125" bestFit="1" customWidth="1"/>
    <col min="14" max="14" width="18.28515625" bestFit="1" customWidth="1"/>
    <col min="15" max="15" width="17.42578125" bestFit="1" customWidth="1"/>
    <col min="16" max="16" width="22" bestFit="1" customWidth="1"/>
    <col min="17" max="17" width="20.28515625" bestFit="1" customWidth="1"/>
    <col min="18" max="18" width="18.28515625" bestFit="1" customWidth="1"/>
    <col min="19" max="19" width="21.85546875" bestFit="1" customWidth="1"/>
    <col min="20" max="20" width="23.42578125" bestFit="1" customWidth="1"/>
    <col min="21" max="21" width="24.5703125" bestFit="1" customWidth="1"/>
    <col min="22" max="22" width="22.42578125" bestFit="1" customWidth="1"/>
    <col min="23" max="23" width="22.5703125" bestFit="1" customWidth="1"/>
    <col min="24" max="24" width="22" bestFit="1" customWidth="1"/>
    <col min="25" max="27" width="12.7109375" bestFit="1" customWidth="1"/>
    <col min="28" max="30" width="20.28515625" bestFit="1" customWidth="1"/>
    <col min="31" max="31" width="14.140625" bestFit="1" customWidth="1"/>
    <col min="32" max="32" width="30" bestFit="1" customWidth="1"/>
    <col min="33" max="33" width="26.5703125" bestFit="1" customWidth="1"/>
  </cols>
  <sheetData>
    <row r="1" spans="1:33" x14ac:dyDescent="0.2">
      <c r="A1" s="8" t="s">
        <v>0</v>
      </c>
      <c r="B1" s="9" t="s">
        <v>940</v>
      </c>
      <c r="C1" s="9" t="s">
        <v>939</v>
      </c>
      <c r="D1" s="9" t="s">
        <v>28</v>
      </c>
      <c r="E1" s="9" t="s">
        <v>679</v>
      </c>
      <c r="F1" s="9" t="s">
        <v>680</v>
      </c>
      <c r="G1" s="9" t="s">
        <v>681</v>
      </c>
      <c r="H1" s="9" t="s">
        <v>682</v>
      </c>
      <c r="I1" s="9" t="s">
        <v>683</v>
      </c>
      <c r="J1" s="9" t="s">
        <v>684</v>
      </c>
      <c r="K1" s="9" t="s">
        <v>685</v>
      </c>
      <c r="L1" s="9" t="s">
        <v>686</v>
      </c>
      <c r="M1" s="9" t="s">
        <v>687</v>
      </c>
      <c r="N1" s="9" t="s">
        <v>688</v>
      </c>
      <c r="O1" s="9" t="s">
        <v>689</v>
      </c>
      <c r="P1" s="9" t="s">
        <v>690</v>
      </c>
      <c r="Q1" s="9" t="s">
        <v>691</v>
      </c>
      <c r="R1" s="9" t="s">
        <v>692</v>
      </c>
      <c r="S1" s="9" t="s">
        <v>693</v>
      </c>
      <c r="T1" s="9" t="s">
        <v>694</v>
      </c>
      <c r="U1" s="9" t="s">
        <v>695</v>
      </c>
      <c r="V1" s="9" t="s">
        <v>696</v>
      </c>
      <c r="W1" s="9" t="s">
        <v>697</v>
      </c>
      <c r="X1" s="9" t="s">
        <v>698</v>
      </c>
      <c r="Y1" s="9" t="s">
        <v>232</v>
      </c>
      <c r="Z1" s="9" t="s">
        <v>233</v>
      </c>
      <c r="AA1" s="9" t="s">
        <v>234</v>
      </c>
      <c r="AB1" s="9" t="s">
        <v>641</v>
      </c>
      <c r="AC1" s="9" t="s">
        <v>642</v>
      </c>
      <c r="AD1" s="9" t="s">
        <v>643</v>
      </c>
      <c r="AE1" s="9" t="s">
        <v>644</v>
      </c>
      <c r="AF1" s="9" t="s">
        <v>596</v>
      </c>
      <c r="AG1" s="10" t="s">
        <v>27</v>
      </c>
    </row>
    <row r="2" spans="1:33" hidden="1" x14ac:dyDescent="0.2">
      <c r="A2" s="11">
        <v>9905</v>
      </c>
      <c r="B2" s="3" t="s">
        <v>238</v>
      </c>
      <c r="C2" s="3" t="s">
        <v>711</v>
      </c>
      <c r="D2" s="3" t="s">
        <v>764</v>
      </c>
      <c r="E2" s="3">
        <v>4</v>
      </c>
      <c r="F2" s="3">
        <v>1</v>
      </c>
      <c r="G2" s="3">
        <v>4.4000000000000004</v>
      </c>
      <c r="H2" s="3">
        <v>1</v>
      </c>
      <c r="I2" s="3">
        <v>2.5</v>
      </c>
      <c r="J2" s="3">
        <v>1</v>
      </c>
      <c r="K2" s="3">
        <v>1</v>
      </c>
      <c r="L2" s="3">
        <v>1</v>
      </c>
      <c r="M2" s="3">
        <v>1</v>
      </c>
      <c r="N2" s="3">
        <v>1</v>
      </c>
      <c r="O2" s="3">
        <v>1</v>
      </c>
      <c r="P2" s="3">
        <v>1</v>
      </c>
      <c r="Q2" s="3">
        <v>1</v>
      </c>
      <c r="R2" s="3">
        <v>1</v>
      </c>
      <c r="S2" s="3">
        <v>1</v>
      </c>
      <c r="T2" s="3">
        <v>1</v>
      </c>
      <c r="U2" s="3">
        <v>1</v>
      </c>
      <c r="V2" s="3">
        <v>1</v>
      </c>
      <c r="W2" s="3">
        <v>1</v>
      </c>
      <c r="X2" s="3">
        <v>1</v>
      </c>
      <c r="Y2" s="3">
        <v>0</v>
      </c>
      <c r="Z2" s="3">
        <v>0</v>
      </c>
      <c r="AA2" s="3">
        <v>0</v>
      </c>
      <c r="AB2" s="3">
        <v>0</v>
      </c>
      <c r="AC2" s="3">
        <v>0</v>
      </c>
      <c r="AD2" s="3">
        <v>0</v>
      </c>
      <c r="AE2" s="3">
        <v>5</v>
      </c>
      <c r="AF2" s="3" t="s">
        <v>764</v>
      </c>
      <c r="AG2" s="12" t="s">
        <v>765</v>
      </c>
    </row>
    <row r="3" spans="1:33" hidden="1" x14ac:dyDescent="0.2">
      <c r="A3" s="11">
        <v>2905</v>
      </c>
      <c r="B3" s="3" t="s">
        <v>481</v>
      </c>
      <c r="C3" s="3" t="s">
        <v>711</v>
      </c>
      <c r="D3" s="3" t="s">
        <v>738</v>
      </c>
      <c r="E3" s="3">
        <v>1.88</v>
      </c>
      <c r="F3" s="3">
        <v>1</v>
      </c>
      <c r="G3" s="3">
        <v>1.88</v>
      </c>
      <c r="H3" s="3">
        <v>1</v>
      </c>
      <c r="I3" s="3">
        <v>2.5</v>
      </c>
      <c r="J3" s="3">
        <v>1</v>
      </c>
      <c r="K3" s="3">
        <v>1</v>
      </c>
      <c r="L3" s="3">
        <v>1</v>
      </c>
      <c r="M3" s="3">
        <v>1</v>
      </c>
      <c r="N3" s="3">
        <v>1</v>
      </c>
      <c r="O3" s="3">
        <v>1</v>
      </c>
      <c r="P3" s="3">
        <v>1</v>
      </c>
      <c r="Q3" s="3">
        <v>1</v>
      </c>
      <c r="R3" s="3">
        <v>1.1000000000000001</v>
      </c>
      <c r="S3" s="3">
        <v>1</v>
      </c>
      <c r="T3" s="3">
        <v>1</v>
      </c>
      <c r="U3" s="3">
        <v>1</v>
      </c>
      <c r="V3" s="3">
        <v>1</v>
      </c>
      <c r="W3" s="3">
        <v>1</v>
      </c>
      <c r="X3" s="3">
        <v>1</v>
      </c>
      <c r="Y3" s="3">
        <v>0</v>
      </c>
      <c r="Z3" s="3">
        <v>0</v>
      </c>
      <c r="AA3" s="3">
        <v>0</v>
      </c>
      <c r="AB3" s="3">
        <v>0</v>
      </c>
      <c r="AC3" s="3">
        <v>0</v>
      </c>
      <c r="AD3" s="3">
        <v>0</v>
      </c>
      <c r="AE3" s="3">
        <v>5</v>
      </c>
      <c r="AF3" s="3" t="s">
        <v>738</v>
      </c>
      <c r="AG3" s="12" t="s">
        <v>739</v>
      </c>
    </row>
    <row r="4" spans="1:33" hidden="1" x14ac:dyDescent="0.2">
      <c r="A4" s="11">
        <v>3905</v>
      </c>
      <c r="B4" s="3" t="s">
        <v>941</v>
      </c>
      <c r="C4" s="3" t="s">
        <v>711</v>
      </c>
      <c r="D4" s="3" t="s">
        <v>744</v>
      </c>
      <c r="E4" s="3">
        <v>2.65</v>
      </c>
      <c r="F4" s="3">
        <v>1</v>
      </c>
      <c r="G4" s="3">
        <v>3.05</v>
      </c>
      <c r="H4" s="3">
        <v>1</v>
      </c>
      <c r="I4" s="3">
        <v>2.5</v>
      </c>
      <c r="J4" s="3">
        <v>1</v>
      </c>
      <c r="K4" s="3">
        <v>1</v>
      </c>
      <c r="L4" s="3">
        <v>1</v>
      </c>
      <c r="M4" s="3">
        <v>1</v>
      </c>
      <c r="N4" s="3">
        <v>1</v>
      </c>
      <c r="O4" s="3">
        <v>1</v>
      </c>
      <c r="P4" s="3">
        <v>1</v>
      </c>
      <c r="Q4" s="3">
        <v>1</v>
      </c>
      <c r="R4" s="3">
        <v>1</v>
      </c>
      <c r="S4" s="3">
        <v>1</v>
      </c>
      <c r="T4" s="3">
        <v>1</v>
      </c>
      <c r="U4" s="3">
        <v>1</v>
      </c>
      <c r="V4" s="3">
        <v>1</v>
      </c>
      <c r="W4" s="3">
        <v>1</v>
      </c>
      <c r="X4" s="3">
        <v>1</v>
      </c>
      <c r="Y4" s="3">
        <v>0</v>
      </c>
      <c r="Z4" s="3">
        <v>0</v>
      </c>
      <c r="AA4" s="3">
        <v>0</v>
      </c>
      <c r="AB4" s="3">
        <v>0</v>
      </c>
      <c r="AC4" s="3">
        <v>0</v>
      </c>
      <c r="AD4" s="3">
        <v>0</v>
      </c>
      <c r="AE4" s="3">
        <v>5</v>
      </c>
      <c r="AF4" s="3" t="s">
        <v>744</v>
      </c>
      <c r="AG4" s="12" t="s">
        <v>745</v>
      </c>
    </row>
    <row r="5" spans="1:33" hidden="1" x14ac:dyDescent="0.2">
      <c r="A5" s="11">
        <v>905</v>
      </c>
      <c r="B5" s="3" t="s">
        <v>946</v>
      </c>
      <c r="C5" s="3" t="s">
        <v>711</v>
      </c>
      <c r="D5" s="3" t="s">
        <v>712</v>
      </c>
      <c r="E5" s="3">
        <v>2.2999999999999998</v>
      </c>
      <c r="F5" s="3">
        <v>1</v>
      </c>
      <c r="G5" s="3">
        <v>2.2999999999999998</v>
      </c>
      <c r="H5" s="3">
        <v>1</v>
      </c>
      <c r="I5" s="3">
        <v>2.5</v>
      </c>
      <c r="J5" s="3">
        <v>1</v>
      </c>
      <c r="K5" s="3">
        <v>1</v>
      </c>
      <c r="L5" s="3">
        <v>1</v>
      </c>
      <c r="M5" s="3">
        <v>1</v>
      </c>
      <c r="N5" s="3">
        <v>1</v>
      </c>
      <c r="O5" s="3">
        <v>1</v>
      </c>
      <c r="P5" s="3">
        <v>1</v>
      </c>
      <c r="Q5" s="3">
        <v>1</v>
      </c>
      <c r="R5" s="3">
        <v>1.1000000000000001</v>
      </c>
      <c r="S5" s="3">
        <v>1</v>
      </c>
      <c r="T5" s="3">
        <v>1</v>
      </c>
      <c r="U5" s="3">
        <v>1</v>
      </c>
      <c r="V5" s="3">
        <v>1</v>
      </c>
      <c r="W5" s="3">
        <v>1</v>
      </c>
      <c r="X5" s="3">
        <v>1</v>
      </c>
      <c r="Y5" s="3">
        <v>0</v>
      </c>
      <c r="Z5" s="3">
        <v>0</v>
      </c>
      <c r="AA5" s="3">
        <v>0</v>
      </c>
      <c r="AB5" s="3">
        <v>0</v>
      </c>
      <c r="AC5" s="3">
        <v>0</v>
      </c>
      <c r="AD5" s="3">
        <v>0</v>
      </c>
      <c r="AE5" s="3">
        <v>5</v>
      </c>
      <c r="AF5" s="3" t="s">
        <v>583</v>
      </c>
      <c r="AG5" s="12" t="s">
        <v>713</v>
      </c>
    </row>
    <row r="6" spans="1:33" x14ac:dyDescent="0.2">
      <c r="A6" s="11">
        <v>2105</v>
      </c>
      <c r="B6" s="3" t="s">
        <v>481</v>
      </c>
      <c r="C6" s="3" t="s">
        <v>570</v>
      </c>
      <c r="D6" s="3" t="s">
        <v>722</v>
      </c>
      <c r="E6" s="3">
        <v>2.25</v>
      </c>
      <c r="F6" s="3">
        <v>1</v>
      </c>
      <c r="G6" s="3">
        <v>1</v>
      </c>
      <c r="H6" s="3">
        <v>1</v>
      </c>
      <c r="I6" s="3">
        <v>2.5</v>
      </c>
      <c r="J6" s="3">
        <v>1</v>
      </c>
      <c r="K6" s="3">
        <v>1</v>
      </c>
      <c r="L6" s="3">
        <v>1.2</v>
      </c>
      <c r="M6" s="3">
        <v>1.2</v>
      </c>
      <c r="N6" s="3">
        <v>1</v>
      </c>
      <c r="O6" s="3">
        <v>1</v>
      </c>
      <c r="P6" s="3">
        <v>1</v>
      </c>
      <c r="Q6" s="3">
        <v>1</v>
      </c>
      <c r="R6" s="3">
        <v>1</v>
      </c>
      <c r="S6" s="3">
        <v>1</v>
      </c>
      <c r="T6" s="3">
        <v>1</v>
      </c>
      <c r="U6" s="3">
        <v>1</v>
      </c>
      <c r="V6" s="3">
        <v>1</v>
      </c>
      <c r="W6" s="3">
        <v>1</v>
      </c>
      <c r="X6" s="3">
        <v>1</v>
      </c>
      <c r="Y6" s="3">
        <v>0</v>
      </c>
      <c r="Z6" s="3">
        <v>0</v>
      </c>
      <c r="AA6" s="3">
        <v>0</v>
      </c>
      <c r="AB6" s="3">
        <v>0</v>
      </c>
      <c r="AC6" s="3">
        <v>0</v>
      </c>
      <c r="AD6" s="3">
        <v>0</v>
      </c>
      <c r="AE6" s="3">
        <v>5</v>
      </c>
      <c r="AF6" s="3" t="s">
        <v>722</v>
      </c>
      <c r="AG6" s="12" t="s">
        <v>723</v>
      </c>
    </row>
    <row r="7" spans="1:33" x14ac:dyDescent="0.2">
      <c r="A7" s="11">
        <v>8105</v>
      </c>
      <c r="B7" s="3" t="s">
        <v>662</v>
      </c>
      <c r="C7" s="3" t="s">
        <v>570</v>
      </c>
      <c r="D7" s="3" t="s">
        <v>748</v>
      </c>
      <c r="E7" s="3">
        <v>6.8</v>
      </c>
      <c r="F7" s="3">
        <v>1</v>
      </c>
      <c r="G7" s="3">
        <v>1</v>
      </c>
      <c r="H7" s="3">
        <v>1</v>
      </c>
      <c r="I7" s="3">
        <v>2.5</v>
      </c>
      <c r="J7" s="3">
        <v>1</v>
      </c>
      <c r="K7" s="3">
        <v>1</v>
      </c>
      <c r="L7" s="3">
        <v>1</v>
      </c>
      <c r="M7" s="3">
        <v>1</v>
      </c>
      <c r="N7" s="3">
        <v>1</v>
      </c>
      <c r="O7" s="3">
        <v>1</v>
      </c>
      <c r="P7" s="3">
        <v>1</v>
      </c>
      <c r="Q7" s="3">
        <v>1</v>
      </c>
      <c r="R7" s="3">
        <v>1</v>
      </c>
      <c r="S7" s="3">
        <v>1</v>
      </c>
      <c r="T7" s="3">
        <v>1</v>
      </c>
      <c r="U7" s="3">
        <v>1</v>
      </c>
      <c r="V7" s="3">
        <v>1</v>
      </c>
      <c r="W7" s="3">
        <v>1</v>
      </c>
      <c r="X7" s="3">
        <v>1</v>
      </c>
      <c r="Y7" s="3">
        <v>0</v>
      </c>
      <c r="Z7" s="3">
        <v>0</v>
      </c>
      <c r="AA7" s="3">
        <v>0</v>
      </c>
      <c r="AB7" s="3">
        <v>0</v>
      </c>
      <c r="AC7" s="3">
        <v>0</v>
      </c>
      <c r="AD7" s="3">
        <v>0</v>
      </c>
      <c r="AE7" s="3">
        <v>5</v>
      </c>
      <c r="AF7" s="3" t="s">
        <v>748</v>
      </c>
      <c r="AG7" s="12" t="s">
        <v>749</v>
      </c>
    </row>
    <row r="8" spans="1:33" x14ac:dyDescent="0.2">
      <c r="A8" s="11">
        <v>105</v>
      </c>
      <c r="B8" s="3" t="s">
        <v>946</v>
      </c>
      <c r="C8" s="3" t="s">
        <v>570</v>
      </c>
      <c r="D8" s="3" t="s">
        <v>571</v>
      </c>
      <c r="E8" s="3">
        <v>2.7</v>
      </c>
      <c r="F8" s="3">
        <v>1</v>
      </c>
      <c r="G8" s="3">
        <v>1</v>
      </c>
      <c r="H8" s="3">
        <v>1</v>
      </c>
      <c r="I8" s="3">
        <v>2.5</v>
      </c>
      <c r="J8" s="3">
        <v>1</v>
      </c>
      <c r="K8" s="3">
        <v>1</v>
      </c>
      <c r="L8" s="3">
        <v>1.2</v>
      </c>
      <c r="M8" s="3">
        <v>1.2</v>
      </c>
      <c r="N8" s="3">
        <v>1</v>
      </c>
      <c r="O8" s="3">
        <v>1</v>
      </c>
      <c r="P8" s="3">
        <v>1</v>
      </c>
      <c r="Q8" s="3">
        <v>1</v>
      </c>
      <c r="R8" s="3">
        <v>1</v>
      </c>
      <c r="S8" s="3">
        <v>1</v>
      </c>
      <c r="T8" s="3">
        <v>1</v>
      </c>
      <c r="U8" s="3">
        <v>1</v>
      </c>
      <c r="V8" s="3">
        <v>1</v>
      </c>
      <c r="W8" s="3">
        <v>1</v>
      </c>
      <c r="X8" s="3">
        <v>1</v>
      </c>
      <c r="Y8" s="3">
        <v>0</v>
      </c>
      <c r="Z8" s="3">
        <v>0</v>
      </c>
      <c r="AA8" s="3">
        <v>0</v>
      </c>
      <c r="AB8" s="3">
        <v>0</v>
      </c>
      <c r="AC8" s="3">
        <v>0</v>
      </c>
      <c r="AD8" s="3">
        <v>0</v>
      </c>
      <c r="AE8" s="3">
        <v>5</v>
      </c>
      <c r="AF8" s="3" t="s">
        <v>571</v>
      </c>
      <c r="AG8" s="12" t="s">
        <v>701</v>
      </c>
    </row>
    <row r="9" spans="1:33" hidden="1" x14ac:dyDescent="0.2">
      <c r="A9" s="11">
        <v>1005</v>
      </c>
      <c r="B9" s="3" t="s">
        <v>945</v>
      </c>
      <c r="C9" s="3" t="s">
        <v>945</v>
      </c>
      <c r="D9" s="3" t="s">
        <v>714</v>
      </c>
      <c r="E9" s="3">
        <v>1.5</v>
      </c>
      <c r="F9" s="3">
        <v>1.5</v>
      </c>
      <c r="G9" s="3">
        <v>1.5</v>
      </c>
      <c r="H9" s="3">
        <v>1.5</v>
      </c>
      <c r="I9" s="3">
        <v>2.5</v>
      </c>
      <c r="J9" s="3">
        <v>1</v>
      </c>
      <c r="K9" s="3">
        <v>1</v>
      </c>
      <c r="L9" s="3">
        <v>1</v>
      </c>
      <c r="M9" s="3">
        <v>1</v>
      </c>
      <c r="N9" s="3">
        <v>1</v>
      </c>
      <c r="O9" s="3">
        <v>1</v>
      </c>
      <c r="P9" s="3">
        <v>1</v>
      </c>
      <c r="Q9" s="3">
        <v>1</v>
      </c>
      <c r="R9" s="3">
        <v>1</v>
      </c>
      <c r="S9" s="3">
        <v>1</v>
      </c>
      <c r="T9" s="3">
        <v>1</v>
      </c>
      <c r="U9" s="3">
        <v>1</v>
      </c>
      <c r="V9" s="3">
        <v>1</v>
      </c>
      <c r="W9" s="3">
        <v>1</v>
      </c>
      <c r="X9" s="3">
        <v>1</v>
      </c>
      <c r="Y9" s="3">
        <v>0</v>
      </c>
      <c r="Z9" s="3">
        <v>0</v>
      </c>
      <c r="AA9" s="3">
        <v>0</v>
      </c>
      <c r="AB9" s="3">
        <v>0</v>
      </c>
      <c r="AC9" s="3">
        <v>0</v>
      </c>
      <c r="AD9" s="3">
        <v>0</v>
      </c>
      <c r="AE9" s="3">
        <v>5</v>
      </c>
      <c r="AF9" s="3" t="s">
        <v>714</v>
      </c>
      <c r="AG9" s="12" t="s">
        <v>715</v>
      </c>
    </row>
    <row r="10" spans="1:33" hidden="1" x14ac:dyDescent="0.2">
      <c r="A10" s="11">
        <v>2610</v>
      </c>
      <c r="B10" s="3" t="s">
        <v>481</v>
      </c>
      <c r="C10" s="3" t="s">
        <v>943</v>
      </c>
      <c r="D10" s="3" t="s">
        <v>732</v>
      </c>
      <c r="E10" s="3">
        <v>2.1</v>
      </c>
      <c r="F10" s="3">
        <v>2.1</v>
      </c>
      <c r="G10" s="3">
        <v>1</v>
      </c>
      <c r="H10" s="3">
        <v>1</v>
      </c>
      <c r="I10" s="3">
        <v>2.5</v>
      </c>
      <c r="J10" s="3">
        <v>1</v>
      </c>
      <c r="K10" s="3">
        <v>1</v>
      </c>
      <c r="L10" s="3">
        <v>1.2</v>
      </c>
      <c r="M10" s="3">
        <v>1.2</v>
      </c>
      <c r="N10" s="3">
        <v>1</v>
      </c>
      <c r="O10" s="3">
        <v>1.2</v>
      </c>
      <c r="P10" s="3">
        <v>1</v>
      </c>
      <c r="Q10" s="3">
        <v>1</v>
      </c>
      <c r="R10" s="3">
        <v>1</v>
      </c>
      <c r="S10" s="3">
        <v>1</v>
      </c>
      <c r="T10" s="3">
        <v>1</v>
      </c>
      <c r="U10" s="3">
        <v>1</v>
      </c>
      <c r="V10" s="3">
        <v>1</v>
      </c>
      <c r="W10" s="3">
        <v>1</v>
      </c>
      <c r="X10" s="3">
        <v>1</v>
      </c>
      <c r="Y10" s="3">
        <v>0</v>
      </c>
      <c r="Z10" s="3">
        <v>0</v>
      </c>
      <c r="AA10" s="3">
        <v>0</v>
      </c>
      <c r="AB10" s="3">
        <v>0</v>
      </c>
      <c r="AC10" s="3">
        <v>0</v>
      </c>
      <c r="AD10" s="3">
        <v>0</v>
      </c>
      <c r="AE10" s="3">
        <v>10</v>
      </c>
      <c r="AF10" s="3" t="s">
        <v>732</v>
      </c>
      <c r="AG10" s="12" t="s">
        <v>733</v>
      </c>
    </row>
    <row r="11" spans="1:33" hidden="1" x14ac:dyDescent="0.2">
      <c r="A11" s="11">
        <v>8610</v>
      </c>
      <c r="B11" s="3" t="s">
        <v>662</v>
      </c>
      <c r="C11" s="3" t="s">
        <v>943</v>
      </c>
      <c r="D11" s="3" t="s">
        <v>754</v>
      </c>
      <c r="E11" s="3">
        <v>5.5</v>
      </c>
      <c r="F11" s="3">
        <v>5.5</v>
      </c>
      <c r="G11" s="3">
        <v>1</v>
      </c>
      <c r="H11" s="3">
        <v>1</v>
      </c>
      <c r="I11" s="3">
        <v>2.5</v>
      </c>
      <c r="J11" s="3">
        <v>1</v>
      </c>
      <c r="K11" s="3">
        <v>1</v>
      </c>
      <c r="L11" s="3">
        <v>1</v>
      </c>
      <c r="M11" s="3">
        <v>1</v>
      </c>
      <c r="N11" s="3">
        <v>1</v>
      </c>
      <c r="O11" s="3">
        <v>1</v>
      </c>
      <c r="P11" s="3">
        <v>1</v>
      </c>
      <c r="Q11" s="3">
        <v>1</v>
      </c>
      <c r="R11" s="3">
        <v>1</v>
      </c>
      <c r="S11" s="3">
        <v>1</v>
      </c>
      <c r="T11" s="3">
        <v>1</v>
      </c>
      <c r="U11" s="3">
        <v>1</v>
      </c>
      <c r="V11" s="3">
        <v>1</v>
      </c>
      <c r="W11" s="3">
        <v>1</v>
      </c>
      <c r="X11" s="3">
        <v>1</v>
      </c>
      <c r="Y11" s="3">
        <v>0</v>
      </c>
      <c r="Z11" s="3">
        <v>0</v>
      </c>
      <c r="AA11" s="3">
        <v>0</v>
      </c>
      <c r="AB11" s="3">
        <v>0</v>
      </c>
      <c r="AC11" s="3">
        <v>0</v>
      </c>
      <c r="AD11" s="3">
        <v>0</v>
      </c>
      <c r="AE11" s="3">
        <v>10</v>
      </c>
      <c r="AF11" s="3" t="s">
        <v>754</v>
      </c>
      <c r="AG11" s="12" t="s">
        <v>755</v>
      </c>
    </row>
    <row r="12" spans="1:33" hidden="1" x14ac:dyDescent="0.2">
      <c r="A12" s="11">
        <v>610</v>
      </c>
      <c r="B12" s="3" t="s">
        <v>946</v>
      </c>
      <c r="C12" s="3" t="s">
        <v>943</v>
      </c>
      <c r="D12" s="3" t="s">
        <v>579</v>
      </c>
      <c r="E12" s="3">
        <v>2.5</v>
      </c>
      <c r="F12" s="3">
        <v>2.5</v>
      </c>
      <c r="G12" s="3">
        <v>1</v>
      </c>
      <c r="H12" s="3">
        <v>1</v>
      </c>
      <c r="I12" s="3">
        <v>2.5</v>
      </c>
      <c r="J12" s="3">
        <v>1</v>
      </c>
      <c r="K12" s="3">
        <v>1</v>
      </c>
      <c r="L12" s="3">
        <v>1.2</v>
      </c>
      <c r="M12" s="3">
        <v>1.2</v>
      </c>
      <c r="N12" s="3">
        <v>1</v>
      </c>
      <c r="O12" s="3">
        <v>1.2</v>
      </c>
      <c r="P12" s="3">
        <v>1</v>
      </c>
      <c r="Q12" s="3">
        <v>1</v>
      </c>
      <c r="R12" s="3">
        <v>1</v>
      </c>
      <c r="S12" s="3">
        <v>1</v>
      </c>
      <c r="T12" s="3">
        <v>1</v>
      </c>
      <c r="U12" s="3">
        <v>1</v>
      </c>
      <c r="V12" s="3">
        <v>1</v>
      </c>
      <c r="W12" s="3">
        <v>1</v>
      </c>
      <c r="X12" s="3">
        <v>1</v>
      </c>
      <c r="Y12" s="3">
        <v>0</v>
      </c>
      <c r="Z12" s="3">
        <v>0</v>
      </c>
      <c r="AA12" s="3">
        <v>0</v>
      </c>
      <c r="AB12" s="3">
        <v>0</v>
      </c>
      <c r="AC12" s="3">
        <v>0</v>
      </c>
      <c r="AD12" s="3">
        <v>0</v>
      </c>
      <c r="AE12" s="3">
        <v>10</v>
      </c>
      <c r="AF12" s="3" t="s">
        <v>579</v>
      </c>
      <c r="AG12" s="12" t="s">
        <v>708</v>
      </c>
    </row>
    <row r="13" spans="1:33" hidden="1" x14ac:dyDescent="0.2">
      <c r="A13" s="11">
        <v>1105</v>
      </c>
      <c r="B13" s="3" t="s">
        <v>716</v>
      </c>
      <c r="C13" s="3" t="s">
        <v>716</v>
      </c>
      <c r="D13" s="3" t="s">
        <v>717</v>
      </c>
      <c r="E13" s="3">
        <v>1.5</v>
      </c>
      <c r="F13" s="3">
        <v>1.5</v>
      </c>
      <c r="G13" s="3">
        <v>1.5</v>
      </c>
      <c r="H13" s="3">
        <v>1.5</v>
      </c>
      <c r="I13" s="3">
        <v>2.5</v>
      </c>
      <c r="J13" s="3">
        <v>1</v>
      </c>
      <c r="K13" s="3">
        <v>1</v>
      </c>
      <c r="L13" s="3">
        <v>1.2</v>
      </c>
      <c r="M13" s="3">
        <v>1.2</v>
      </c>
      <c r="N13" s="3">
        <v>1.2</v>
      </c>
      <c r="O13" s="3">
        <v>1.2</v>
      </c>
      <c r="P13" s="3">
        <v>1</v>
      </c>
      <c r="Q13" s="3">
        <v>1</v>
      </c>
      <c r="R13" s="3">
        <v>1</v>
      </c>
      <c r="S13" s="3">
        <v>1</v>
      </c>
      <c r="T13" s="3">
        <v>1</v>
      </c>
      <c r="U13" s="3">
        <v>1</v>
      </c>
      <c r="V13" s="3">
        <v>1</v>
      </c>
      <c r="W13" s="3">
        <v>1</v>
      </c>
      <c r="X13" s="3">
        <v>1</v>
      </c>
      <c r="Y13" s="3">
        <v>0</v>
      </c>
      <c r="Z13" s="3">
        <v>0</v>
      </c>
      <c r="AA13" s="3">
        <v>0</v>
      </c>
      <c r="AB13" s="3">
        <v>0</v>
      </c>
      <c r="AC13" s="3">
        <v>0</v>
      </c>
      <c r="AD13" s="3">
        <v>0</v>
      </c>
      <c r="AE13" s="3">
        <v>5</v>
      </c>
      <c r="AF13" s="3" t="s">
        <v>717</v>
      </c>
      <c r="AG13" s="12" t="s">
        <v>718</v>
      </c>
    </row>
    <row r="14" spans="1:33" hidden="1" x14ac:dyDescent="0.2">
      <c r="A14" s="11">
        <v>9505</v>
      </c>
      <c r="B14" s="3" t="s">
        <v>238</v>
      </c>
      <c r="C14" s="3" t="s">
        <v>942</v>
      </c>
      <c r="D14" s="3" t="s">
        <v>760</v>
      </c>
      <c r="E14" s="3">
        <v>2.4</v>
      </c>
      <c r="F14" s="3">
        <v>2.3199999999999998</v>
      </c>
      <c r="G14" s="3">
        <v>1</v>
      </c>
      <c r="H14" s="3">
        <v>1</v>
      </c>
      <c r="I14" s="3">
        <v>2.5</v>
      </c>
      <c r="J14" s="3">
        <v>1</v>
      </c>
      <c r="K14" s="3">
        <v>1</v>
      </c>
      <c r="L14" s="3">
        <v>1.2</v>
      </c>
      <c r="M14" s="3">
        <v>1.2</v>
      </c>
      <c r="N14" s="3">
        <v>1.4</v>
      </c>
      <c r="O14" s="3">
        <v>1</v>
      </c>
      <c r="P14" s="3">
        <v>1</v>
      </c>
      <c r="Q14" s="3">
        <v>1</v>
      </c>
      <c r="R14" s="3">
        <v>1</v>
      </c>
      <c r="S14" s="3">
        <v>1</v>
      </c>
      <c r="T14" s="3">
        <v>1</v>
      </c>
      <c r="U14" s="3">
        <v>1</v>
      </c>
      <c r="V14" s="3">
        <v>1</v>
      </c>
      <c r="W14" s="3">
        <v>1</v>
      </c>
      <c r="X14" s="3">
        <v>1</v>
      </c>
      <c r="Y14" s="3">
        <v>0</v>
      </c>
      <c r="Z14" s="3">
        <v>0</v>
      </c>
      <c r="AA14" s="3">
        <v>0</v>
      </c>
      <c r="AB14" s="3">
        <v>0</v>
      </c>
      <c r="AC14" s="3">
        <v>0</v>
      </c>
      <c r="AD14" s="3">
        <v>0</v>
      </c>
      <c r="AE14" s="3">
        <v>5</v>
      </c>
      <c r="AF14" s="3" t="s">
        <v>760</v>
      </c>
      <c r="AG14" s="12" t="s">
        <v>761</v>
      </c>
    </row>
    <row r="15" spans="1:33" hidden="1" x14ac:dyDescent="0.2">
      <c r="A15" s="11">
        <v>2505</v>
      </c>
      <c r="B15" s="3" t="s">
        <v>481</v>
      </c>
      <c r="C15" s="3" t="s">
        <v>942</v>
      </c>
      <c r="D15" s="3" t="s">
        <v>730</v>
      </c>
      <c r="E15" s="3">
        <v>1.94</v>
      </c>
      <c r="F15" s="3">
        <v>1.93</v>
      </c>
      <c r="G15" s="3">
        <v>1</v>
      </c>
      <c r="H15" s="3">
        <v>1</v>
      </c>
      <c r="I15" s="3">
        <v>2.5</v>
      </c>
      <c r="J15" s="3">
        <v>1</v>
      </c>
      <c r="K15" s="3">
        <v>1</v>
      </c>
      <c r="L15" s="3">
        <v>1.2</v>
      </c>
      <c r="M15" s="3">
        <v>1.2</v>
      </c>
      <c r="N15" s="3">
        <v>1.8</v>
      </c>
      <c r="O15" s="3">
        <v>1</v>
      </c>
      <c r="P15" s="3">
        <v>1</v>
      </c>
      <c r="Q15" s="3">
        <v>1</v>
      </c>
      <c r="R15" s="3">
        <v>1</v>
      </c>
      <c r="S15" s="3">
        <v>1</v>
      </c>
      <c r="T15" s="3">
        <v>1</v>
      </c>
      <c r="U15" s="3">
        <v>1</v>
      </c>
      <c r="V15" s="3">
        <v>1</v>
      </c>
      <c r="W15" s="3">
        <v>1</v>
      </c>
      <c r="X15" s="3">
        <v>1</v>
      </c>
      <c r="Y15" s="3">
        <v>0</v>
      </c>
      <c r="Z15" s="3">
        <v>0</v>
      </c>
      <c r="AA15" s="3">
        <v>0</v>
      </c>
      <c r="AB15" s="3">
        <v>0</v>
      </c>
      <c r="AC15" s="3">
        <v>0</v>
      </c>
      <c r="AD15" s="3">
        <v>0</v>
      </c>
      <c r="AE15" s="3">
        <v>5</v>
      </c>
      <c r="AF15" s="3" t="s">
        <v>730</v>
      </c>
      <c r="AG15" s="12" t="s">
        <v>731</v>
      </c>
    </row>
    <row r="16" spans="1:33" hidden="1" x14ac:dyDescent="0.2">
      <c r="A16" s="11">
        <v>505</v>
      </c>
      <c r="B16" s="3" t="s">
        <v>946</v>
      </c>
      <c r="C16" s="3" t="s">
        <v>942</v>
      </c>
      <c r="D16" s="3" t="s">
        <v>578</v>
      </c>
      <c r="E16" s="3">
        <v>2.4</v>
      </c>
      <c r="F16" s="3">
        <v>2.3199999999999998</v>
      </c>
      <c r="G16" s="3">
        <v>1</v>
      </c>
      <c r="H16" s="3">
        <v>1</v>
      </c>
      <c r="I16" s="3">
        <v>2.5</v>
      </c>
      <c r="J16" s="3">
        <v>1</v>
      </c>
      <c r="K16" s="3">
        <v>1</v>
      </c>
      <c r="L16" s="3">
        <v>1.2</v>
      </c>
      <c r="M16" s="3">
        <v>1.2</v>
      </c>
      <c r="N16" s="3">
        <v>1.8</v>
      </c>
      <c r="O16" s="3">
        <v>1</v>
      </c>
      <c r="P16" s="3">
        <v>1</v>
      </c>
      <c r="Q16" s="3">
        <v>1</v>
      </c>
      <c r="R16" s="3">
        <v>1</v>
      </c>
      <c r="S16" s="3">
        <v>1</v>
      </c>
      <c r="T16" s="3">
        <v>1</v>
      </c>
      <c r="U16" s="3">
        <v>1</v>
      </c>
      <c r="V16" s="3">
        <v>1</v>
      </c>
      <c r="W16" s="3">
        <v>1</v>
      </c>
      <c r="X16" s="3">
        <v>1</v>
      </c>
      <c r="Y16" s="3">
        <v>0</v>
      </c>
      <c r="Z16" s="3">
        <v>0</v>
      </c>
      <c r="AA16" s="3">
        <v>0</v>
      </c>
      <c r="AB16" s="3">
        <v>0</v>
      </c>
      <c r="AC16" s="3">
        <v>0</v>
      </c>
      <c r="AD16" s="3">
        <v>0</v>
      </c>
      <c r="AE16" s="3">
        <v>5</v>
      </c>
      <c r="AF16" s="3" t="s">
        <v>578</v>
      </c>
      <c r="AG16" s="12" t="s">
        <v>707</v>
      </c>
    </row>
    <row r="17" spans="1:33" hidden="1" x14ac:dyDescent="0.2">
      <c r="A17" s="11">
        <v>9810</v>
      </c>
      <c r="B17" s="3" t="s">
        <v>238</v>
      </c>
      <c r="C17" s="3" t="s">
        <v>581</v>
      </c>
      <c r="D17" s="3" t="s">
        <v>762</v>
      </c>
      <c r="E17" s="3">
        <v>4.5</v>
      </c>
      <c r="F17" s="3">
        <v>1</v>
      </c>
      <c r="G17" s="3">
        <v>4.5</v>
      </c>
      <c r="H17" s="3">
        <v>1</v>
      </c>
      <c r="I17" s="3">
        <v>2.5</v>
      </c>
      <c r="J17" s="3">
        <v>1</v>
      </c>
      <c r="K17" s="3">
        <v>1</v>
      </c>
      <c r="L17" s="3">
        <v>1</v>
      </c>
      <c r="M17" s="3">
        <v>1</v>
      </c>
      <c r="N17" s="3">
        <v>1</v>
      </c>
      <c r="O17" s="3">
        <v>1</v>
      </c>
      <c r="P17" s="3">
        <v>1</v>
      </c>
      <c r="Q17" s="3">
        <v>1</v>
      </c>
      <c r="R17" s="3">
        <v>1</v>
      </c>
      <c r="S17" s="3">
        <v>1</v>
      </c>
      <c r="T17" s="3">
        <v>1</v>
      </c>
      <c r="U17" s="3">
        <v>1</v>
      </c>
      <c r="V17" s="3">
        <v>1</v>
      </c>
      <c r="W17" s="3">
        <v>1</v>
      </c>
      <c r="X17" s="3">
        <v>1</v>
      </c>
      <c r="Y17" s="3">
        <v>0</v>
      </c>
      <c r="Z17" s="3">
        <v>0</v>
      </c>
      <c r="AA17" s="3">
        <v>0</v>
      </c>
      <c r="AB17" s="3">
        <v>0</v>
      </c>
      <c r="AC17" s="3">
        <v>0</v>
      </c>
      <c r="AD17" s="3">
        <v>0</v>
      </c>
      <c r="AE17" s="3">
        <v>10</v>
      </c>
      <c r="AF17" s="3" t="s">
        <v>762</v>
      </c>
      <c r="AG17" s="12" t="s">
        <v>763</v>
      </c>
    </row>
    <row r="18" spans="1:33" hidden="1" x14ac:dyDescent="0.2">
      <c r="A18" s="11">
        <v>2810</v>
      </c>
      <c r="B18" s="3" t="s">
        <v>481</v>
      </c>
      <c r="C18" s="3" t="s">
        <v>581</v>
      </c>
      <c r="D18" s="3" t="s">
        <v>736</v>
      </c>
      <c r="E18" s="3">
        <v>1.95</v>
      </c>
      <c r="F18" s="3">
        <v>1</v>
      </c>
      <c r="G18" s="3">
        <v>1.95</v>
      </c>
      <c r="H18" s="3">
        <v>1</v>
      </c>
      <c r="I18" s="3">
        <v>2.5</v>
      </c>
      <c r="J18" s="3">
        <v>1</v>
      </c>
      <c r="K18" s="3">
        <v>1</v>
      </c>
      <c r="L18" s="3">
        <v>1</v>
      </c>
      <c r="M18" s="3">
        <v>1</v>
      </c>
      <c r="N18" s="3">
        <v>1</v>
      </c>
      <c r="O18" s="3">
        <v>1</v>
      </c>
      <c r="P18" s="3">
        <v>1</v>
      </c>
      <c r="Q18" s="3">
        <v>1</v>
      </c>
      <c r="R18" s="3">
        <v>1.1000000000000001</v>
      </c>
      <c r="S18" s="3">
        <v>1</v>
      </c>
      <c r="T18" s="3">
        <v>1</v>
      </c>
      <c r="U18" s="3">
        <v>1</v>
      </c>
      <c r="V18" s="3">
        <v>1</v>
      </c>
      <c r="W18" s="3">
        <v>1</v>
      </c>
      <c r="X18" s="3">
        <v>1</v>
      </c>
      <c r="Y18" s="3">
        <v>0</v>
      </c>
      <c r="Z18" s="3">
        <v>0</v>
      </c>
      <c r="AA18" s="3">
        <v>0</v>
      </c>
      <c r="AB18" s="3">
        <v>0</v>
      </c>
      <c r="AC18" s="3">
        <v>0</v>
      </c>
      <c r="AD18" s="3">
        <v>0</v>
      </c>
      <c r="AE18" s="3">
        <v>10</v>
      </c>
      <c r="AF18" s="3" t="s">
        <v>736</v>
      </c>
      <c r="AG18" s="12" t="s">
        <v>737</v>
      </c>
    </row>
    <row r="19" spans="1:33" hidden="1" x14ac:dyDescent="0.2">
      <c r="A19" s="11">
        <v>3810</v>
      </c>
      <c r="B19" s="3" t="s">
        <v>941</v>
      </c>
      <c r="C19" s="3" t="s">
        <v>581</v>
      </c>
      <c r="D19" s="3" t="s">
        <v>742</v>
      </c>
      <c r="E19" s="3">
        <v>3.3</v>
      </c>
      <c r="F19" s="3">
        <v>1</v>
      </c>
      <c r="G19" s="3">
        <v>3.3</v>
      </c>
      <c r="H19" s="3">
        <v>1</v>
      </c>
      <c r="I19" s="3">
        <v>2.5</v>
      </c>
      <c r="J19" s="3">
        <v>1</v>
      </c>
      <c r="K19" s="3">
        <v>1</v>
      </c>
      <c r="L19" s="3">
        <v>1</v>
      </c>
      <c r="M19" s="3">
        <v>1</v>
      </c>
      <c r="N19" s="3">
        <v>1</v>
      </c>
      <c r="O19" s="3">
        <v>1</v>
      </c>
      <c r="P19" s="3">
        <v>1</v>
      </c>
      <c r="Q19" s="3">
        <v>1</v>
      </c>
      <c r="R19" s="3">
        <v>1</v>
      </c>
      <c r="S19" s="3">
        <v>1</v>
      </c>
      <c r="T19" s="3">
        <v>1</v>
      </c>
      <c r="U19" s="3">
        <v>1</v>
      </c>
      <c r="V19" s="3">
        <v>1</v>
      </c>
      <c r="W19" s="3">
        <v>1</v>
      </c>
      <c r="X19" s="3">
        <v>1</v>
      </c>
      <c r="Y19" s="3">
        <v>0</v>
      </c>
      <c r="Z19" s="3">
        <v>0</v>
      </c>
      <c r="AA19" s="3">
        <v>0</v>
      </c>
      <c r="AB19" s="3">
        <v>0</v>
      </c>
      <c r="AC19" s="3">
        <v>0</v>
      </c>
      <c r="AD19" s="3">
        <v>0</v>
      </c>
      <c r="AE19" s="3">
        <v>10</v>
      </c>
      <c r="AF19" s="3" t="s">
        <v>742</v>
      </c>
      <c r="AG19" s="12" t="s">
        <v>743</v>
      </c>
    </row>
    <row r="20" spans="1:33" hidden="1" x14ac:dyDescent="0.2">
      <c r="A20" s="11">
        <v>8810</v>
      </c>
      <c r="B20" s="3" t="s">
        <v>662</v>
      </c>
      <c r="C20" s="3" t="s">
        <v>581</v>
      </c>
      <c r="D20" s="3" t="s">
        <v>756</v>
      </c>
      <c r="E20" s="3">
        <v>4.1500000000000004</v>
      </c>
      <c r="F20" s="3">
        <v>1</v>
      </c>
      <c r="G20" s="3">
        <v>4.1500000000000004</v>
      </c>
      <c r="H20" s="3">
        <v>1</v>
      </c>
      <c r="I20" s="3">
        <v>2.5</v>
      </c>
      <c r="J20" s="3">
        <v>1</v>
      </c>
      <c r="K20" s="3">
        <v>1</v>
      </c>
      <c r="L20" s="3">
        <v>1</v>
      </c>
      <c r="M20" s="3">
        <v>1</v>
      </c>
      <c r="N20" s="3">
        <v>1</v>
      </c>
      <c r="O20" s="3">
        <v>1</v>
      </c>
      <c r="P20" s="3">
        <v>1</v>
      </c>
      <c r="Q20" s="3">
        <v>1</v>
      </c>
      <c r="R20" s="3">
        <v>1</v>
      </c>
      <c r="S20" s="3">
        <v>1</v>
      </c>
      <c r="T20" s="3">
        <v>1</v>
      </c>
      <c r="U20" s="3">
        <v>1</v>
      </c>
      <c r="V20" s="3">
        <v>1</v>
      </c>
      <c r="W20" s="3">
        <v>1</v>
      </c>
      <c r="X20" s="3">
        <v>1</v>
      </c>
      <c r="Y20" s="3">
        <v>0</v>
      </c>
      <c r="Z20" s="3">
        <v>0</v>
      </c>
      <c r="AA20" s="3">
        <v>0</v>
      </c>
      <c r="AB20" s="3">
        <v>0</v>
      </c>
      <c r="AC20" s="3">
        <v>0</v>
      </c>
      <c r="AD20" s="3">
        <v>0</v>
      </c>
      <c r="AE20" s="3">
        <v>10</v>
      </c>
      <c r="AF20" s="3" t="s">
        <v>756</v>
      </c>
      <c r="AG20" s="12" t="s">
        <v>757</v>
      </c>
    </row>
    <row r="21" spans="1:33" hidden="1" x14ac:dyDescent="0.2">
      <c r="A21" s="11">
        <v>810</v>
      </c>
      <c r="B21" s="3" t="s">
        <v>946</v>
      </c>
      <c r="C21" s="3" t="s">
        <v>581</v>
      </c>
      <c r="D21" s="3" t="s">
        <v>582</v>
      </c>
      <c r="E21" s="3">
        <v>2.4</v>
      </c>
      <c r="F21" s="3">
        <v>1</v>
      </c>
      <c r="G21" s="3">
        <v>2.4</v>
      </c>
      <c r="H21" s="3">
        <v>1</v>
      </c>
      <c r="I21" s="3">
        <v>2.5</v>
      </c>
      <c r="J21" s="3">
        <v>1</v>
      </c>
      <c r="K21" s="3">
        <v>1</v>
      </c>
      <c r="L21" s="3">
        <v>1</v>
      </c>
      <c r="M21" s="3">
        <v>1</v>
      </c>
      <c r="N21" s="3">
        <v>1</v>
      </c>
      <c r="O21" s="3">
        <v>1</v>
      </c>
      <c r="P21" s="3">
        <v>1</v>
      </c>
      <c r="Q21" s="3">
        <v>1</v>
      </c>
      <c r="R21" s="3">
        <v>1.1000000000000001</v>
      </c>
      <c r="S21" s="3">
        <v>1</v>
      </c>
      <c r="T21" s="3">
        <v>1</v>
      </c>
      <c r="U21" s="3">
        <v>1</v>
      </c>
      <c r="V21" s="3">
        <v>1</v>
      </c>
      <c r="W21" s="3">
        <v>1</v>
      </c>
      <c r="X21" s="3">
        <v>1</v>
      </c>
      <c r="Y21" s="3">
        <v>0</v>
      </c>
      <c r="Z21" s="3">
        <v>0</v>
      </c>
      <c r="AA21" s="3">
        <v>0</v>
      </c>
      <c r="AB21" s="3">
        <v>0</v>
      </c>
      <c r="AC21" s="3">
        <v>0</v>
      </c>
      <c r="AD21" s="3">
        <v>0</v>
      </c>
      <c r="AE21" s="3">
        <v>10</v>
      </c>
      <c r="AF21" s="3" t="s">
        <v>582</v>
      </c>
      <c r="AG21" s="12" t="s">
        <v>710</v>
      </c>
    </row>
    <row r="22" spans="1:33" hidden="1" x14ac:dyDescent="0.2">
      <c r="A22" s="11">
        <v>9205</v>
      </c>
      <c r="B22" s="3" t="s">
        <v>238</v>
      </c>
      <c r="C22" s="3" t="s">
        <v>572</v>
      </c>
      <c r="D22" s="3" t="s">
        <v>758</v>
      </c>
      <c r="E22" s="3">
        <v>4.5999999999999996</v>
      </c>
      <c r="F22" s="3">
        <v>1</v>
      </c>
      <c r="G22" s="3">
        <v>1</v>
      </c>
      <c r="H22" s="3">
        <v>5</v>
      </c>
      <c r="I22" s="3">
        <v>2.5</v>
      </c>
      <c r="J22" s="3">
        <v>1</v>
      </c>
      <c r="K22" s="3">
        <v>1</v>
      </c>
      <c r="L22" s="3">
        <v>1</v>
      </c>
      <c r="M22" s="3">
        <v>1</v>
      </c>
      <c r="N22" s="3">
        <v>1</v>
      </c>
      <c r="O22" s="3">
        <v>1</v>
      </c>
      <c r="P22" s="3">
        <v>1</v>
      </c>
      <c r="Q22" s="3">
        <v>1</v>
      </c>
      <c r="R22" s="3">
        <v>1</v>
      </c>
      <c r="S22" s="3">
        <v>1</v>
      </c>
      <c r="T22" s="3">
        <v>1</v>
      </c>
      <c r="U22" s="3">
        <v>1</v>
      </c>
      <c r="V22" s="3">
        <v>1</v>
      </c>
      <c r="W22" s="3">
        <v>1</v>
      </c>
      <c r="X22" s="3">
        <v>1</v>
      </c>
      <c r="Y22" s="3">
        <v>0</v>
      </c>
      <c r="Z22" s="3">
        <v>0</v>
      </c>
      <c r="AA22" s="3">
        <v>0</v>
      </c>
      <c r="AB22" s="3">
        <v>0</v>
      </c>
      <c r="AC22" s="3">
        <v>0</v>
      </c>
      <c r="AD22" s="3">
        <v>0</v>
      </c>
      <c r="AE22" s="3">
        <v>5</v>
      </c>
      <c r="AF22" s="3" t="s">
        <v>758</v>
      </c>
      <c r="AG22" s="12" t="s">
        <v>759</v>
      </c>
    </row>
    <row r="23" spans="1:33" hidden="1" x14ac:dyDescent="0.2">
      <c r="A23" s="11">
        <v>2205</v>
      </c>
      <c r="B23" s="3" t="s">
        <v>481</v>
      </c>
      <c r="C23" s="3" t="s">
        <v>572</v>
      </c>
      <c r="D23" s="3" t="s">
        <v>724</v>
      </c>
      <c r="E23" s="3">
        <v>2.04</v>
      </c>
      <c r="F23" s="3">
        <v>1</v>
      </c>
      <c r="G23" s="3">
        <v>1</v>
      </c>
      <c r="H23" s="3">
        <v>2.04</v>
      </c>
      <c r="I23" s="3">
        <v>2.5</v>
      </c>
      <c r="J23" s="3">
        <v>1</v>
      </c>
      <c r="K23" s="3">
        <v>1</v>
      </c>
      <c r="L23" s="3">
        <v>1</v>
      </c>
      <c r="M23" s="3">
        <v>1</v>
      </c>
      <c r="N23" s="3">
        <v>1</v>
      </c>
      <c r="O23" s="3">
        <v>1</v>
      </c>
      <c r="P23" s="3">
        <v>1</v>
      </c>
      <c r="Q23" s="3">
        <v>1</v>
      </c>
      <c r="R23" s="3">
        <v>1</v>
      </c>
      <c r="S23" s="3">
        <v>1.4</v>
      </c>
      <c r="T23" s="3">
        <v>1</v>
      </c>
      <c r="U23" s="3">
        <v>1</v>
      </c>
      <c r="V23" s="3">
        <v>1</v>
      </c>
      <c r="W23" s="3">
        <v>1</v>
      </c>
      <c r="X23" s="3">
        <v>1</v>
      </c>
      <c r="Y23" s="3">
        <v>0</v>
      </c>
      <c r="Z23" s="3">
        <v>0</v>
      </c>
      <c r="AA23" s="3">
        <v>0</v>
      </c>
      <c r="AB23" s="3">
        <v>0</v>
      </c>
      <c r="AC23" s="3">
        <v>0</v>
      </c>
      <c r="AD23" s="3">
        <v>0</v>
      </c>
      <c r="AE23" s="3">
        <v>5</v>
      </c>
      <c r="AF23" s="3" t="s">
        <v>724</v>
      </c>
      <c r="AG23" s="12" t="s">
        <v>725</v>
      </c>
    </row>
    <row r="24" spans="1:33" hidden="1" x14ac:dyDescent="0.2">
      <c r="A24" s="11">
        <v>3205</v>
      </c>
      <c r="B24" s="3" t="s">
        <v>941</v>
      </c>
      <c r="C24" s="3" t="s">
        <v>572</v>
      </c>
      <c r="D24" s="3" t="s">
        <v>740</v>
      </c>
      <c r="E24" s="3">
        <v>3.3</v>
      </c>
      <c r="F24" s="3">
        <v>1</v>
      </c>
      <c r="G24" s="3">
        <v>1</v>
      </c>
      <c r="H24" s="3">
        <v>3.7</v>
      </c>
      <c r="I24" s="3">
        <v>2.5</v>
      </c>
      <c r="J24" s="3">
        <v>1</v>
      </c>
      <c r="K24" s="3">
        <v>1</v>
      </c>
      <c r="L24" s="3">
        <v>1</v>
      </c>
      <c r="M24" s="3">
        <v>1</v>
      </c>
      <c r="N24" s="3">
        <v>1</v>
      </c>
      <c r="O24" s="3">
        <v>1</v>
      </c>
      <c r="P24" s="3">
        <v>1</v>
      </c>
      <c r="Q24" s="3">
        <v>1</v>
      </c>
      <c r="R24" s="3">
        <v>1</v>
      </c>
      <c r="S24" s="3">
        <v>1</v>
      </c>
      <c r="T24" s="3">
        <v>1</v>
      </c>
      <c r="U24" s="3">
        <v>1</v>
      </c>
      <c r="V24" s="3">
        <v>1</v>
      </c>
      <c r="W24" s="3">
        <v>1</v>
      </c>
      <c r="X24" s="3">
        <v>1</v>
      </c>
      <c r="Y24" s="3">
        <v>0</v>
      </c>
      <c r="Z24" s="3">
        <v>0</v>
      </c>
      <c r="AA24" s="3">
        <v>0</v>
      </c>
      <c r="AB24" s="3">
        <v>0</v>
      </c>
      <c r="AC24" s="3">
        <v>0</v>
      </c>
      <c r="AD24" s="3">
        <v>0</v>
      </c>
      <c r="AE24" s="3">
        <v>5</v>
      </c>
      <c r="AF24" s="3" t="s">
        <v>740</v>
      </c>
      <c r="AG24" s="12" t="s">
        <v>741</v>
      </c>
    </row>
    <row r="25" spans="1:33" hidden="1" x14ac:dyDescent="0.2">
      <c r="A25" s="11">
        <v>8205</v>
      </c>
      <c r="B25" s="3" t="s">
        <v>662</v>
      </c>
      <c r="C25" s="3" t="s">
        <v>572</v>
      </c>
      <c r="D25" s="3" t="s">
        <v>750</v>
      </c>
      <c r="E25" s="3">
        <v>3.8</v>
      </c>
      <c r="F25" s="3">
        <v>1</v>
      </c>
      <c r="G25" s="3">
        <v>1</v>
      </c>
      <c r="H25" s="3">
        <v>3.6</v>
      </c>
      <c r="I25" s="3">
        <v>2.5</v>
      </c>
      <c r="J25" s="3">
        <v>1</v>
      </c>
      <c r="K25" s="3">
        <v>1</v>
      </c>
      <c r="L25" s="3">
        <v>1</v>
      </c>
      <c r="M25" s="3">
        <v>1</v>
      </c>
      <c r="N25" s="3">
        <v>1</v>
      </c>
      <c r="O25" s="3">
        <v>1</v>
      </c>
      <c r="P25" s="3">
        <v>1</v>
      </c>
      <c r="Q25" s="3">
        <v>1</v>
      </c>
      <c r="R25" s="3">
        <v>1</v>
      </c>
      <c r="S25" s="3">
        <v>1</v>
      </c>
      <c r="T25" s="3">
        <v>1</v>
      </c>
      <c r="U25" s="3">
        <v>1</v>
      </c>
      <c r="V25" s="3">
        <v>1</v>
      </c>
      <c r="W25" s="3">
        <v>1</v>
      </c>
      <c r="X25" s="3">
        <v>1</v>
      </c>
      <c r="Y25" s="3">
        <v>0</v>
      </c>
      <c r="Z25" s="3">
        <v>0</v>
      </c>
      <c r="AA25" s="3">
        <v>0</v>
      </c>
      <c r="AB25" s="3">
        <v>0</v>
      </c>
      <c r="AC25" s="3">
        <v>0</v>
      </c>
      <c r="AD25" s="3">
        <v>0</v>
      </c>
      <c r="AE25" s="3">
        <v>5</v>
      </c>
      <c r="AF25" s="3" t="s">
        <v>750</v>
      </c>
      <c r="AG25" s="12" t="s">
        <v>751</v>
      </c>
    </row>
    <row r="26" spans="1:33" hidden="1" x14ac:dyDescent="0.2">
      <c r="A26" s="11">
        <v>205</v>
      </c>
      <c r="B26" s="3" t="s">
        <v>946</v>
      </c>
      <c r="C26" s="3" t="s">
        <v>572</v>
      </c>
      <c r="D26" s="3" t="s">
        <v>573</v>
      </c>
      <c r="E26" s="3">
        <v>2.5</v>
      </c>
      <c r="F26" s="3">
        <v>1</v>
      </c>
      <c r="G26" s="3">
        <v>1</v>
      </c>
      <c r="H26" s="3">
        <v>2.5</v>
      </c>
      <c r="I26" s="3">
        <v>2.5</v>
      </c>
      <c r="J26" s="3">
        <v>1</v>
      </c>
      <c r="K26" s="3">
        <v>1</v>
      </c>
      <c r="L26" s="3">
        <v>1</v>
      </c>
      <c r="M26" s="3">
        <v>1</v>
      </c>
      <c r="N26" s="3">
        <v>1</v>
      </c>
      <c r="O26" s="3">
        <v>1</v>
      </c>
      <c r="P26" s="3">
        <v>1</v>
      </c>
      <c r="Q26" s="3">
        <v>1</v>
      </c>
      <c r="R26" s="3">
        <v>1</v>
      </c>
      <c r="S26" s="3">
        <v>1.4</v>
      </c>
      <c r="T26" s="3">
        <v>1</v>
      </c>
      <c r="U26" s="3">
        <v>1</v>
      </c>
      <c r="V26" s="3">
        <v>1</v>
      </c>
      <c r="W26" s="3">
        <v>1</v>
      </c>
      <c r="X26" s="3">
        <v>1</v>
      </c>
      <c r="Y26" s="3">
        <v>0</v>
      </c>
      <c r="Z26" s="3">
        <v>0</v>
      </c>
      <c r="AA26" s="3">
        <v>0</v>
      </c>
      <c r="AB26" s="3">
        <v>0</v>
      </c>
      <c r="AC26" s="3">
        <v>0</v>
      </c>
      <c r="AD26" s="3">
        <v>0</v>
      </c>
      <c r="AE26" s="3">
        <v>5</v>
      </c>
      <c r="AF26" s="3" t="s">
        <v>573</v>
      </c>
      <c r="AG26" s="12" t="s">
        <v>702</v>
      </c>
    </row>
    <row r="27" spans="1:33" hidden="1" x14ac:dyDescent="0.2">
      <c r="A27" s="11">
        <v>2410</v>
      </c>
      <c r="B27" s="3" t="s">
        <v>481</v>
      </c>
      <c r="C27" s="3" t="s">
        <v>575</v>
      </c>
      <c r="D27" s="3" t="s">
        <v>728</v>
      </c>
      <c r="E27" s="3">
        <v>2.1</v>
      </c>
      <c r="F27" s="3">
        <v>2.1</v>
      </c>
      <c r="G27" s="3">
        <v>1</v>
      </c>
      <c r="H27" s="3">
        <v>1</v>
      </c>
      <c r="I27" s="3">
        <v>2.5</v>
      </c>
      <c r="J27" s="3">
        <v>1</v>
      </c>
      <c r="K27" s="3">
        <v>1</v>
      </c>
      <c r="L27" s="3">
        <v>1.2</v>
      </c>
      <c r="M27" s="3">
        <v>1.2</v>
      </c>
      <c r="N27" s="3">
        <v>1.2</v>
      </c>
      <c r="O27" s="3">
        <v>1</v>
      </c>
      <c r="P27" s="3">
        <v>1</v>
      </c>
      <c r="Q27" s="3">
        <v>1</v>
      </c>
      <c r="R27" s="3">
        <v>1</v>
      </c>
      <c r="S27" s="3">
        <v>1</v>
      </c>
      <c r="T27" s="3">
        <v>1</v>
      </c>
      <c r="U27" s="3">
        <v>1</v>
      </c>
      <c r="V27" s="3">
        <v>1</v>
      </c>
      <c r="W27" s="3">
        <v>1</v>
      </c>
      <c r="X27" s="3">
        <v>1</v>
      </c>
      <c r="Y27" s="3">
        <v>0</v>
      </c>
      <c r="Z27" s="3">
        <v>0</v>
      </c>
      <c r="AA27" s="3">
        <v>0</v>
      </c>
      <c r="AB27" s="3">
        <v>0</v>
      </c>
      <c r="AC27" s="3">
        <v>0</v>
      </c>
      <c r="AD27" s="3">
        <v>0</v>
      </c>
      <c r="AE27" s="3">
        <v>10</v>
      </c>
      <c r="AF27" s="3" t="s">
        <v>728</v>
      </c>
      <c r="AG27" s="12" t="s">
        <v>729</v>
      </c>
    </row>
    <row r="28" spans="1:33" hidden="1" x14ac:dyDescent="0.2">
      <c r="A28" s="11">
        <v>8410</v>
      </c>
      <c r="B28" s="3" t="s">
        <v>662</v>
      </c>
      <c r="C28" s="3" t="s">
        <v>575</v>
      </c>
      <c r="D28" s="3" t="s">
        <v>752</v>
      </c>
      <c r="E28" s="3">
        <v>5.4</v>
      </c>
      <c r="F28" s="3">
        <v>5.14</v>
      </c>
      <c r="G28" s="3">
        <v>1</v>
      </c>
      <c r="H28" s="3">
        <v>1</v>
      </c>
      <c r="I28" s="3">
        <v>2.5</v>
      </c>
      <c r="J28" s="3">
        <v>1</v>
      </c>
      <c r="K28" s="3">
        <v>1</v>
      </c>
      <c r="L28" s="3">
        <v>1</v>
      </c>
      <c r="M28" s="3">
        <v>1</v>
      </c>
      <c r="N28" s="3">
        <v>1</v>
      </c>
      <c r="O28" s="3">
        <v>1</v>
      </c>
      <c r="P28" s="3">
        <v>1</v>
      </c>
      <c r="Q28" s="3">
        <v>1</v>
      </c>
      <c r="R28" s="3">
        <v>1</v>
      </c>
      <c r="S28" s="3">
        <v>1</v>
      </c>
      <c r="T28" s="3">
        <v>1</v>
      </c>
      <c r="U28" s="3">
        <v>1</v>
      </c>
      <c r="V28" s="3">
        <v>1</v>
      </c>
      <c r="W28" s="3">
        <v>1</v>
      </c>
      <c r="X28" s="3">
        <v>1</v>
      </c>
      <c r="Y28" s="3">
        <v>0</v>
      </c>
      <c r="Z28" s="3">
        <v>0</v>
      </c>
      <c r="AA28" s="3">
        <v>0</v>
      </c>
      <c r="AB28" s="3">
        <v>0</v>
      </c>
      <c r="AC28" s="3">
        <v>0</v>
      </c>
      <c r="AD28" s="3">
        <v>0</v>
      </c>
      <c r="AE28" s="3">
        <v>10</v>
      </c>
      <c r="AF28" s="3" t="s">
        <v>752</v>
      </c>
      <c r="AG28" s="12" t="s">
        <v>753</v>
      </c>
    </row>
    <row r="29" spans="1:33" hidden="1" x14ac:dyDescent="0.2">
      <c r="A29" s="11">
        <v>410</v>
      </c>
      <c r="B29" s="3" t="s">
        <v>946</v>
      </c>
      <c r="C29" s="3" t="s">
        <v>575</v>
      </c>
      <c r="D29" s="3" t="s">
        <v>576</v>
      </c>
      <c r="E29" s="3">
        <v>2.5</v>
      </c>
      <c r="F29" s="3">
        <v>2.5</v>
      </c>
      <c r="G29" s="3">
        <v>1</v>
      </c>
      <c r="H29" s="3">
        <v>1</v>
      </c>
      <c r="I29" s="3">
        <v>2.5</v>
      </c>
      <c r="J29" s="3">
        <v>1</v>
      </c>
      <c r="K29" s="3">
        <v>1</v>
      </c>
      <c r="L29" s="3">
        <v>1.2</v>
      </c>
      <c r="M29" s="3">
        <v>1.2</v>
      </c>
      <c r="N29" s="3">
        <v>1.2</v>
      </c>
      <c r="O29" s="3">
        <v>1</v>
      </c>
      <c r="P29" s="3">
        <v>1</v>
      </c>
      <c r="Q29" s="3">
        <v>1</v>
      </c>
      <c r="R29" s="3">
        <v>1</v>
      </c>
      <c r="S29" s="3">
        <v>1</v>
      </c>
      <c r="T29" s="3">
        <v>1</v>
      </c>
      <c r="U29" s="3">
        <v>1</v>
      </c>
      <c r="V29" s="3">
        <v>1</v>
      </c>
      <c r="W29" s="3">
        <v>1</v>
      </c>
      <c r="X29" s="3">
        <v>1</v>
      </c>
      <c r="Y29" s="3">
        <v>0</v>
      </c>
      <c r="Z29" s="3">
        <v>0</v>
      </c>
      <c r="AA29" s="3">
        <v>0</v>
      </c>
      <c r="AB29" s="3">
        <v>0</v>
      </c>
      <c r="AC29" s="3">
        <v>0</v>
      </c>
      <c r="AD29" s="3">
        <v>0</v>
      </c>
      <c r="AE29" s="3">
        <v>10</v>
      </c>
      <c r="AF29" s="3" t="s">
        <v>577</v>
      </c>
      <c r="AG29" s="12" t="s">
        <v>706</v>
      </c>
    </row>
    <row r="30" spans="1:33" x14ac:dyDescent="0.2">
      <c r="A30" s="11">
        <v>2015</v>
      </c>
      <c r="B30" s="3" t="s">
        <v>481</v>
      </c>
      <c r="C30" s="3" t="s">
        <v>645</v>
      </c>
      <c r="D30" s="3" t="s">
        <v>720</v>
      </c>
      <c r="E30" s="3">
        <v>2.1</v>
      </c>
      <c r="F30" s="3">
        <v>1</v>
      </c>
      <c r="G30" s="3">
        <v>1</v>
      </c>
      <c r="H30" s="3">
        <v>1</v>
      </c>
      <c r="I30" s="3">
        <v>2.5</v>
      </c>
      <c r="J30" s="3">
        <v>1</v>
      </c>
      <c r="K30" s="3">
        <v>1</v>
      </c>
      <c r="L30" s="3">
        <v>1.2</v>
      </c>
      <c r="M30" s="3">
        <v>1.2</v>
      </c>
      <c r="N30" s="3">
        <v>1</v>
      </c>
      <c r="O30" s="3">
        <v>1</v>
      </c>
      <c r="P30" s="3">
        <v>1</v>
      </c>
      <c r="Q30" s="3">
        <v>1</v>
      </c>
      <c r="R30" s="3">
        <v>1</v>
      </c>
      <c r="S30" s="3">
        <v>1</v>
      </c>
      <c r="T30" s="3">
        <v>1</v>
      </c>
      <c r="U30" s="3">
        <v>1</v>
      </c>
      <c r="V30" s="3">
        <v>1</v>
      </c>
      <c r="W30" s="3">
        <v>1</v>
      </c>
      <c r="X30" s="3">
        <v>1</v>
      </c>
      <c r="Y30" s="3">
        <v>0</v>
      </c>
      <c r="Z30" s="3">
        <v>0</v>
      </c>
      <c r="AA30" s="3">
        <v>0</v>
      </c>
      <c r="AB30" s="3">
        <v>0</v>
      </c>
      <c r="AC30" s="3">
        <v>0</v>
      </c>
      <c r="AD30" s="3">
        <v>0</v>
      </c>
      <c r="AE30" s="3">
        <v>15</v>
      </c>
      <c r="AF30" s="3" t="s">
        <v>720</v>
      </c>
      <c r="AG30" s="12" t="s">
        <v>721</v>
      </c>
    </row>
    <row r="31" spans="1:33" x14ac:dyDescent="0.2">
      <c r="A31" s="11">
        <v>8015</v>
      </c>
      <c r="B31" s="3" t="s">
        <v>662</v>
      </c>
      <c r="C31" s="3" t="s">
        <v>645</v>
      </c>
      <c r="D31" s="3" t="s">
        <v>746</v>
      </c>
      <c r="E31" s="3">
        <v>6.2</v>
      </c>
      <c r="F31" s="3">
        <v>1</v>
      </c>
      <c r="G31" s="3">
        <v>1</v>
      </c>
      <c r="H31" s="3">
        <v>1</v>
      </c>
      <c r="I31" s="3">
        <v>2.5</v>
      </c>
      <c r="J31" s="3">
        <v>1</v>
      </c>
      <c r="K31" s="3">
        <v>1</v>
      </c>
      <c r="L31" s="3">
        <v>1</v>
      </c>
      <c r="M31" s="3">
        <v>1</v>
      </c>
      <c r="N31" s="3">
        <v>1</v>
      </c>
      <c r="O31" s="3">
        <v>1</v>
      </c>
      <c r="P31" s="3">
        <v>1</v>
      </c>
      <c r="Q31" s="3">
        <v>1</v>
      </c>
      <c r="R31" s="3">
        <v>1</v>
      </c>
      <c r="S31" s="3">
        <v>1</v>
      </c>
      <c r="T31" s="3">
        <v>1</v>
      </c>
      <c r="U31" s="3">
        <v>1</v>
      </c>
      <c r="V31" s="3">
        <v>1</v>
      </c>
      <c r="W31" s="3">
        <v>1</v>
      </c>
      <c r="X31" s="3">
        <v>1</v>
      </c>
      <c r="Y31" s="3">
        <v>0</v>
      </c>
      <c r="Z31" s="3">
        <v>0</v>
      </c>
      <c r="AA31" s="3">
        <v>0</v>
      </c>
      <c r="AB31" s="3">
        <v>0</v>
      </c>
      <c r="AC31" s="3">
        <v>0</v>
      </c>
      <c r="AD31" s="3">
        <v>0</v>
      </c>
      <c r="AE31" s="3">
        <v>15</v>
      </c>
      <c r="AF31" s="3" t="s">
        <v>746</v>
      </c>
      <c r="AG31" s="12" t="s">
        <v>747</v>
      </c>
    </row>
    <row r="32" spans="1:33" x14ac:dyDescent="0.2">
      <c r="A32" s="11">
        <v>0</v>
      </c>
      <c r="B32" s="3" t="s">
        <v>946</v>
      </c>
      <c r="C32" s="3" t="s">
        <v>645</v>
      </c>
      <c r="D32" s="3" t="s">
        <v>645</v>
      </c>
      <c r="E32" s="3">
        <v>1</v>
      </c>
      <c r="F32" s="3">
        <v>1</v>
      </c>
      <c r="G32" s="3">
        <v>1</v>
      </c>
      <c r="H32" s="3">
        <v>1</v>
      </c>
      <c r="I32" s="3">
        <v>1</v>
      </c>
      <c r="J32" s="3">
        <v>1</v>
      </c>
      <c r="K32" s="3">
        <v>1</v>
      </c>
      <c r="L32" s="3">
        <v>1</v>
      </c>
      <c r="M32" s="3">
        <v>1</v>
      </c>
      <c r="N32" s="3">
        <v>1</v>
      </c>
      <c r="O32" s="3">
        <v>1</v>
      </c>
      <c r="P32" s="3">
        <v>1</v>
      </c>
      <c r="Q32" s="3">
        <v>1</v>
      </c>
      <c r="R32" s="3">
        <v>1</v>
      </c>
      <c r="S32" s="3">
        <v>1</v>
      </c>
      <c r="T32" s="3">
        <v>1</v>
      </c>
      <c r="U32" s="3">
        <v>1</v>
      </c>
      <c r="V32" s="3">
        <v>1</v>
      </c>
      <c r="W32" s="3">
        <v>1</v>
      </c>
      <c r="X32" s="3">
        <v>1</v>
      </c>
      <c r="Y32" s="3">
        <v>0</v>
      </c>
      <c r="Z32" s="3">
        <v>0</v>
      </c>
      <c r="AA32" s="3">
        <v>0</v>
      </c>
      <c r="AB32" s="3">
        <v>0</v>
      </c>
      <c r="AC32" s="3">
        <v>0</v>
      </c>
      <c r="AD32" s="3">
        <v>0</v>
      </c>
      <c r="AE32" s="3">
        <v>0</v>
      </c>
      <c r="AF32" s="3" t="s">
        <v>235</v>
      </c>
      <c r="AG32" s="12" t="s">
        <v>646</v>
      </c>
    </row>
    <row r="33" spans="1:33" x14ac:dyDescent="0.2">
      <c r="A33" s="11">
        <v>15</v>
      </c>
      <c r="B33" s="3" t="s">
        <v>946</v>
      </c>
      <c r="C33" s="3" t="s">
        <v>645</v>
      </c>
      <c r="D33" s="3" t="s">
        <v>699</v>
      </c>
      <c r="E33" s="3">
        <v>2.5</v>
      </c>
      <c r="F33" s="3">
        <v>1</v>
      </c>
      <c r="G33" s="3">
        <v>1</v>
      </c>
      <c r="H33" s="3">
        <v>1</v>
      </c>
      <c r="I33" s="3">
        <v>2.5</v>
      </c>
      <c r="J33" s="3">
        <v>1</v>
      </c>
      <c r="K33" s="3">
        <v>1</v>
      </c>
      <c r="L33" s="3">
        <v>1.2</v>
      </c>
      <c r="M33" s="3">
        <v>1.2</v>
      </c>
      <c r="N33" s="3">
        <v>1</v>
      </c>
      <c r="O33" s="3">
        <v>1</v>
      </c>
      <c r="P33" s="3">
        <v>1</v>
      </c>
      <c r="Q33" s="3">
        <v>1</v>
      </c>
      <c r="R33" s="3">
        <v>1</v>
      </c>
      <c r="S33" s="3">
        <v>1</v>
      </c>
      <c r="T33" s="3">
        <v>1</v>
      </c>
      <c r="U33" s="3">
        <v>1</v>
      </c>
      <c r="V33" s="3">
        <v>1</v>
      </c>
      <c r="W33" s="3">
        <v>1</v>
      </c>
      <c r="X33" s="3">
        <v>1</v>
      </c>
      <c r="Y33" s="3">
        <v>0</v>
      </c>
      <c r="Z33" s="3">
        <v>0</v>
      </c>
      <c r="AA33" s="3">
        <v>0</v>
      </c>
      <c r="AB33" s="3">
        <v>0</v>
      </c>
      <c r="AC33" s="3">
        <v>0</v>
      </c>
      <c r="AD33" s="3">
        <v>0</v>
      </c>
      <c r="AE33" s="3">
        <v>15</v>
      </c>
      <c r="AF33" s="3" t="s">
        <v>699</v>
      </c>
      <c r="AG33" s="12" t="s">
        <v>700</v>
      </c>
    </row>
    <row r="34" spans="1:33" hidden="1" x14ac:dyDescent="0.2">
      <c r="A34" s="11">
        <v>2705</v>
      </c>
      <c r="B34" s="3" t="s">
        <v>481</v>
      </c>
      <c r="C34" s="3" t="s">
        <v>944</v>
      </c>
      <c r="D34" s="3" t="s">
        <v>734</v>
      </c>
      <c r="E34" s="3">
        <v>2.15</v>
      </c>
      <c r="F34" s="3">
        <v>2.1</v>
      </c>
      <c r="G34" s="3">
        <v>1</v>
      </c>
      <c r="H34" s="3">
        <v>1</v>
      </c>
      <c r="I34" s="3">
        <v>2.5</v>
      </c>
      <c r="J34" s="3">
        <v>1</v>
      </c>
      <c r="K34" s="3">
        <v>1</v>
      </c>
      <c r="L34" s="3">
        <v>1.2</v>
      </c>
      <c r="M34" s="3">
        <v>1.2</v>
      </c>
      <c r="N34" s="3">
        <v>1</v>
      </c>
      <c r="O34" s="3">
        <v>1.2</v>
      </c>
      <c r="P34" s="3">
        <v>1</v>
      </c>
      <c r="Q34" s="3">
        <v>1</v>
      </c>
      <c r="R34" s="3">
        <v>1</v>
      </c>
      <c r="S34" s="3">
        <v>1</v>
      </c>
      <c r="T34" s="3">
        <v>1</v>
      </c>
      <c r="U34" s="3">
        <v>1</v>
      </c>
      <c r="V34" s="3">
        <v>1</v>
      </c>
      <c r="W34" s="3">
        <v>1</v>
      </c>
      <c r="X34" s="3">
        <v>1</v>
      </c>
      <c r="Y34" s="3">
        <v>0</v>
      </c>
      <c r="Z34" s="3">
        <v>0</v>
      </c>
      <c r="AA34" s="3">
        <v>0</v>
      </c>
      <c r="AB34" s="3">
        <v>0</v>
      </c>
      <c r="AC34" s="3">
        <v>0</v>
      </c>
      <c r="AD34" s="3">
        <v>0</v>
      </c>
      <c r="AE34" s="3">
        <v>5</v>
      </c>
      <c r="AF34" s="3" t="s">
        <v>734</v>
      </c>
      <c r="AG34" s="12" t="s">
        <v>735</v>
      </c>
    </row>
    <row r="35" spans="1:33" hidden="1" x14ac:dyDescent="0.2">
      <c r="A35" s="11">
        <v>705</v>
      </c>
      <c r="B35" s="3" t="s">
        <v>946</v>
      </c>
      <c r="C35" s="3" t="s">
        <v>944</v>
      </c>
      <c r="D35" s="3" t="s">
        <v>580</v>
      </c>
      <c r="E35" s="3">
        <v>2.6</v>
      </c>
      <c r="F35" s="3">
        <v>2.5</v>
      </c>
      <c r="G35" s="3">
        <v>1</v>
      </c>
      <c r="H35" s="3">
        <v>1</v>
      </c>
      <c r="I35" s="3">
        <v>2.5</v>
      </c>
      <c r="J35" s="3">
        <v>1</v>
      </c>
      <c r="K35" s="3">
        <v>1</v>
      </c>
      <c r="L35" s="3">
        <v>1.2</v>
      </c>
      <c r="M35" s="3">
        <v>1.2</v>
      </c>
      <c r="N35" s="3">
        <v>1</v>
      </c>
      <c r="O35" s="3">
        <v>1.2</v>
      </c>
      <c r="P35" s="3">
        <v>1</v>
      </c>
      <c r="Q35" s="3">
        <v>1</v>
      </c>
      <c r="R35" s="3">
        <v>1</v>
      </c>
      <c r="S35" s="3">
        <v>1</v>
      </c>
      <c r="T35" s="3">
        <v>1</v>
      </c>
      <c r="U35" s="3">
        <v>1</v>
      </c>
      <c r="V35" s="3">
        <v>1</v>
      </c>
      <c r="W35" s="3">
        <v>1</v>
      </c>
      <c r="X35" s="3">
        <v>1</v>
      </c>
      <c r="Y35" s="3">
        <v>0</v>
      </c>
      <c r="Z35" s="3">
        <v>0</v>
      </c>
      <c r="AA35" s="3">
        <v>0</v>
      </c>
      <c r="AB35" s="3">
        <v>0</v>
      </c>
      <c r="AC35" s="3">
        <v>0</v>
      </c>
      <c r="AD35" s="3">
        <v>0</v>
      </c>
      <c r="AE35" s="3">
        <v>5</v>
      </c>
      <c r="AF35" s="3" t="s">
        <v>580</v>
      </c>
      <c r="AG35" s="12" t="s">
        <v>709</v>
      </c>
    </row>
    <row r="36" spans="1:33" hidden="1" x14ac:dyDescent="0.2">
      <c r="A36" s="11">
        <v>2305</v>
      </c>
      <c r="B36" s="3" t="s">
        <v>481</v>
      </c>
      <c r="C36" s="3" t="s">
        <v>703</v>
      </c>
      <c r="D36" s="3" t="s">
        <v>726</v>
      </c>
      <c r="E36" s="3">
        <v>1.85</v>
      </c>
      <c r="F36" s="3">
        <v>1</v>
      </c>
      <c r="G36" s="3">
        <v>1</v>
      </c>
      <c r="H36" s="3">
        <v>1</v>
      </c>
      <c r="I36" s="3">
        <v>2.2000000000000002</v>
      </c>
      <c r="J36" s="3">
        <v>1</v>
      </c>
      <c r="K36" s="3">
        <v>1</v>
      </c>
      <c r="L36" s="3">
        <v>1.1000000000000001</v>
      </c>
      <c r="M36" s="3">
        <v>1.1000000000000001</v>
      </c>
      <c r="N36" s="3">
        <v>1</v>
      </c>
      <c r="O36" s="3">
        <v>1</v>
      </c>
      <c r="P36" s="3">
        <v>1</v>
      </c>
      <c r="Q36" s="3">
        <v>1</v>
      </c>
      <c r="R36" s="3">
        <v>1</v>
      </c>
      <c r="S36" s="3">
        <v>1</v>
      </c>
      <c r="T36" s="3">
        <v>1</v>
      </c>
      <c r="U36" s="3">
        <v>1</v>
      </c>
      <c r="V36" s="3">
        <v>1</v>
      </c>
      <c r="W36" s="3">
        <v>1</v>
      </c>
      <c r="X36" s="3">
        <v>1</v>
      </c>
      <c r="Y36" s="3">
        <v>0</v>
      </c>
      <c r="Z36" s="3">
        <v>0</v>
      </c>
      <c r="AA36" s="3">
        <v>0</v>
      </c>
      <c r="AB36" s="3">
        <v>0</v>
      </c>
      <c r="AC36" s="3">
        <v>0</v>
      </c>
      <c r="AD36" s="3">
        <v>0</v>
      </c>
      <c r="AE36" s="3">
        <v>5</v>
      </c>
      <c r="AF36" s="3" t="s">
        <v>726</v>
      </c>
      <c r="AG36" s="12" t="s">
        <v>727</v>
      </c>
    </row>
    <row r="37" spans="1:33" hidden="1" x14ac:dyDescent="0.2">
      <c r="A37" s="11">
        <v>305</v>
      </c>
      <c r="B37" s="3" t="s">
        <v>946</v>
      </c>
      <c r="C37" s="3" t="s">
        <v>703</v>
      </c>
      <c r="D37" s="3" t="s">
        <v>704</v>
      </c>
      <c r="E37" s="3">
        <v>2</v>
      </c>
      <c r="F37" s="3">
        <v>1</v>
      </c>
      <c r="G37" s="3">
        <v>1</v>
      </c>
      <c r="H37" s="3">
        <v>1</v>
      </c>
      <c r="I37" s="3">
        <v>2.2000000000000002</v>
      </c>
      <c r="J37" s="3">
        <v>1</v>
      </c>
      <c r="K37" s="3">
        <v>1</v>
      </c>
      <c r="L37" s="3">
        <v>1.1000000000000001</v>
      </c>
      <c r="M37" s="3">
        <v>1.1000000000000001</v>
      </c>
      <c r="N37" s="3">
        <v>1</v>
      </c>
      <c r="O37" s="3">
        <v>1</v>
      </c>
      <c r="P37" s="3">
        <v>1</v>
      </c>
      <c r="Q37" s="3">
        <v>1</v>
      </c>
      <c r="R37" s="3">
        <v>1</v>
      </c>
      <c r="S37" s="3">
        <v>1</v>
      </c>
      <c r="T37" s="3">
        <v>1</v>
      </c>
      <c r="U37" s="3">
        <v>1</v>
      </c>
      <c r="V37" s="3">
        <v>1</v>
      </c>
      <c r="W37" s="3">
        <v>1</v>
      </c>
      <c r="X37" s="3">
        <v>1</v>
      </c>
      <c r="Y37" s="3">
        <v>0</v>
      </c>
      <c r="Z37" s="3">
        <v>0</v>
      </c>
      <c r="AA37" s="3">
        <v>0</v>
      </c>
      <c r="AB37" s="3">
        <v>0</v>
      </c>
      <c r="AC37" s="3">
        <v>0</v>
      </c>
      <c r="AD37" s="3">
        <v>0</v>
      </c>
      <c r="AE37" s="3">
        <v>5</v>
      </c>
      <c r="AF37" s="3" t="s">
        <v>574</v>
      </c>
      <c r="AG37" s="12" t="s">
        <v>705</v>
      </c>
    </row>
    <row r="38" spans="1:33" hidden="1" x14ac:dyDescent="0.2">
      <c r="A38" s="13">
        <v>1205</v>
      </c>
      <c r="B38" s="14" t="s">
        <v>648</v>
      </c>
      <c r="C38" s="14" t="s">
        <v>648</v>
      </c>
      <c r="D38" s="14" t="s">
        <v>650</v>
      </c>
      <c r="E38" s="14">
        <v>1.5</v>
      </c>
      <c r="F38" s="14">
        <v>1.5</v>
      </c>
      <c r="G38" s="14">
        <v>1.5</v>
      </c>
      <c r="H38" s="14">
        <v>1.5</v>
      </c>
      <c r="I38" s="14">
        <v>2.5</v>
      </c>
      <c r="J38" s="14">
        <v>1</v>
      </c>
      <c r="K38" s="14">
        <v>1</v>
      </c>
      <c r="L38" s="14">
        <v>1</v>
      </c>
      <c r="M38" s="14">
        <v>1</v>
      </c>
      <c r="N38" s="14">
        <v>1</v>
      </c>
      <c r="O38" s="14">
        <v>1</v>
      </c>
      <c r="P38" s="14">
        <v>1</v>
      </c>
      <c r="Q38" s="14">
        <v>1</v>
      </c>
      <c r="R38" s="14">
        <v>1</v>
      </c>
      <c r="S38" s="14">
        <v>1</v>
      </c>
      <c r="T38" s="14">
        <v>1</v>
      </c>
      <c r="U38" s="14">
        <v>1</v>
      </c>
      <c r="V38" s="14">
        <v>1</v>
      </c>
      <c r="W38" s="14">
        <v>1</v>
      </c>
      <c r="X38" s="14">
        <v>1</v>
      </c>
      <c r="Y38" s="14">
        <v>0</v>
      </c>
      <c r="Z38" s="14">
        <v>0</v>
      </c>
      <c r="AA38" s="14">
        <v>0</v>
      </c>
      <c r="AB38" s="14">
        <v>0</v>
      </c>
      <c r="AC38" s="14">
        <v>0</v>
      </c>
      <c r="AD38" s="14">
        <v>0</v>
      </c>
      <c r="AE38" s="14">
        <v>5</v>
      </c>
      <c r="AF38" s="14" t="s">
        <v>650</v>
      </c>
      <c r="AG38" s="15" t="s">
        <v>719</v>
      </c>
    </row>
  </sheetData>
  <autoFilter ref="A1:AG38" xr:uid="{4E3A8707-E3F2-4338-8009-E3FA278347E8}">
    <filterColumn colId="2">
      <filters>
        <filter val="Crystal"/>
        <filter val="Normal"/>
      </filters>
    </filterColumn>
    <sortState xmlns:xlrd2="http://schemas.microsoft.com/office/spreadsheetml/2017/richdata2" ref="A2:AG38">
      <sortCondition ref="C1:C38"/>
    </sortState>
  </autoFilter>
  <conditionalFormatting sqref="E1:X38">
    <cfRule type="cellIs" dxfId="4" priority="1" operator="equal">
      <formula>1</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8A74E-4C10-45E5-B989-A378F4F5D599}">
  <sheetPr codeName="Sheet11">
    <tabColor rgb="FF92D050"/>
  </sheetPr>
  <dimension ref="A1:K28"/>
  <sheetViews>
    <sheetView showGridLines="0" tabSelected="1" zoomScale="190" zoomScaleNormal="190" workbookViewId="0">
      <selection activeCell="D19" sqref="D19"/>
    </sheetView>
  </sheetViews>
  <sheetFormatPr defaultColWidth="15.7109375" defaultRowHeight="12.75" x14ac:dyDescent="0.2"/>
  <cols>
    <col min="1" max="1" width="3.85546875" customWidth="1"/>
    <col min="2" max="2" width="11" customWidth="1"/>
    <col min="3" max="3" width="8.28515625" customWidth="1"/>
    <col min="4" max="4" width="8" customWidth="1"/>
    <col min="5" max="5" width="7.85546875" customWidth="1"/>
    <col min="6" max="6" width="13.5703125" customWidth="1"/>
    <col min="7" max="7" width="29" style="29" customWidth="1"/>
    <col min="8" max="8" width="7.42578125" style="29" customWidth="1"/>
    <col min="9" max="9" width="14.28515625" style="29" customWidth="1"/>
    <col min="10" max="10" width="11.140625" customWidth="1"/>
  </cols>
  <sheetData>
    <row r="1" spans="1:11" ht="12.75" customHeight="1" x14ac:dyDescent="0.2"/>
    <row r="2" spans="1:11" ht="12.75" customHeight="1" x14ac:dyDescent="0.2">
      <c r="A2" s="37" t="s">
        <v>1114</v>
      </c>
      <c r="B2" s="32" t="s">
        <v>975</v>
      </c>
      <c r="C2" s="32" t="s">
        <v>1113</v>
      </c>
      <c r="F2" s="32" t="s">
        <v>1111</v>
      </c>
      <c r="G2" s="32" t="s">
        <v>980</v>
      </c>
      <c r="H2" s="32" t="s">
        <v>1112</v>
      </c>
      <c r="I2" s="32" t="s">
        <v>1106</v>
      </c>
      <c r="J2" s="32" t="s">
        <v>1131</v>
      </c>
      <c r="K2" s="32" t="s">
        <v>1132</v>
      </c>
    </row>
    <row r="3" spans="1:11" ht="12.75" customHeight="1" x14ac:dyDescent="0.2">
      <c r="A3" s="38">
        <v>1</v>
      </c>
      <c r="B3" s="28" t="s">
        <v>972</v>
      </c>
      <c r="C3" s="30">
        <f>(SUM(D8:D15) - SUM(C8:C15))+A3</f>
        <v>33</v>
      </c>
      <c r="F3" s="30">
        <f>SUM(H7:H15)</f>
        <v>3.5</v>
      </c>
      <c r="G3" s="30">
        <f>ROUND(
    (40 + D10) *
    IF(OR(G17="Havel's Ring", G18="Havel's Ring"), 1.5, 1) *
    IF(OR(G17="Ring of Favor and Protection", G18="Ring of Favor and Protection"), 1.2, 1) *
    IF(G7="Mask of the Father", 1.05, 1),
0)</f>
        <v>149</v>
      </c>
      <c r="H3" s="31">
        <f>F3/G3</f>
        <v>2.3489932885906041E-2</v>
      </c>
      <c r="I3" s="30" t="str">
        <f>IF(H3&gt;1, "Overloaded", IF(H3&gt;0.5, "Fat Roll", IF(H3&gt;0.25, "Mid Roll", "Fast Roll")))</f>
        <v>Fast Roll</v>
      </c>
      <c r="J3" s="30">
        <f>IF(
OR(G17="Wolf Ring", G18="Wolf Ring"),
SUM(I7:I10)+40,
SUM(I7:I10)
)</f>
        <v>0</v>
      </c>
      <c r="K3" s="30">
        <f>SUM(J7:J10)</f>
        <v>0</v>
      </c>
    </row>
    <row r="4" spans="1:11" ht="6.75" customHeight="1" x14ac:dyDescent="0.2"/>
    <row r="5" spans="1:11" ht="4.5" customHeight="1" x14ac:dyDescent="0.2"/>
    <row r="6" spans="1:11" ht="12.75" customHeight="1" x14ac:dyDescent="0.2">
      <c r="G6" s="32" t="s">
        <v>1101</v>
      </c>
      <c r="H6" s="32" t="s">
        <v>236</v>
      </c>
      <c r="I6" s="32" t="s">
        <v>951</v>
      </c>
      <c r="J6" s="32" t="s">
        <v>1132</v>
      </c>
    </row>
    <row r="7" spans="1:11" ht="12.75" customHeight="1" x14ac:dyDescent="0.2">
      <c r="B7" s="32" t="s">
        <v>976</v>
      </c>
      <c r="C7" s="32" t="s">
        <v>977</v>
      </c>
      <c r="D7" s="32" t="s">
        <v>978</v>
      </c>
      <c r="F7" s="33" t="s">
        <v>594</v>
      </c>
      <c r="G7" s="28" t="s">
        <v>1104</v>
      </c>
      <c r="H7" s="30">
        <f>_xlfn.IFNA(VLOOKUP(G7,Armors!A:E,4,0), 0)</f>
        <v>0</v>
      </c>
      <c r="I7" s="30">
        <f>_xlfn.IFNA(VLOOKUP(G7,Armors!A:E,5,0), 0)</f>
        <v>0</v>
      </c>
      <c r="J7" s="30">
        <f>_xlfn.IFNA(VLOOKUP(G7,Armors!A:G,7,0), 0)</f>
        <v>0</v>
      </c>
    </row>
    <row r="8" spans="1:11" ht="12.75" customHeight="1" x14ac:dyDescent="0.2">
      <c r="B8" s="34" t="s">
        <v>959</v>
      </c>
      <c r="C8" s="30">
        <v>10</v>
      </c>
      <c r="D8" s="28">
        <v>10</v>
      </c>
      <c r="F8" s="33" t="s">
        <v>981</v>
      </c>
      <c r="G8" s="28" t="s">
        <v>1104</v>
      </c>
      <c r="H8" s="30">
        <f>_xlfn.IFNA(VLOOKUP(G8,Armors!A:E,4,0), 0)</f>
        <v>0</v>
      </c>
      <c r="I8" s="30">
        <f>_xlfn.IFNA(VLOOKUP(G8,Armors!A:E,5,0), 0)</f>
        <v>0</v>
      </c>
      <c r="J8" s="30">
        <f>_xlfn.IFNA(VLOOKUP(G8,Armors!A:G,7,0), 0)</f>
        <v>0</v>
      </c>
    </row>
    <row r="9" spans="1:11" ht="12.75" customHeight="1" x14ac:dyDescent="0.2">
      <c r="B9" s="34" t="s">
        <v>960</v>
      </c>
      <c r="C9" s="30">
        <v>12</v>
      </c>
      <c r="D9" s="28">
        <v>12</v>
      </c>
      <c r="F9" s="33" t="s">
        <v>938</v>
      </c>
      <c r="G9" s="28" t="s">
        <v>1104</v>
      </c>
      <c r="H9" s="30">
        <f>_xlfn.IFNA(VLOOKUP(G9,Armors!A:E,4,0), 0)</f>
        <v>0</v>
      </c>
      <c r="I9" s="30">
        <f>_xlfn.IFNA(VLOOKUP(G9,Armors!A:E,5,0), 0)</f>
        <v>0</v>
      </c>
      <c r="J9" s="30">
        <f>_xlfn.IFNA(VLOOKUP(G9,Armors!A:G,7,0), 0)</f>
        <v>0</v>
      </c>
    </row>
    <row r="10" spans="1:11" ht="12.75" customHeight="1" x14ac:dyDescent="0.2">
      <c r="B10" s="34" t="s">
        <v>961</v>
      </c>
      <c r="C10" s="30">
        <v>11</v>
      </c>
      <c r="D10" s="28">
        <v>43</v>
      </c>
      <c r="F10" s="33" t="s">
        <v>640</v>
      </c>
      <c r="G10" s="28" t="s">
        <v>1104</v>
      </c>
      <c r="H10" s="30">
        <f>_xlfn.IFNA(VLOOKUP(G10,Armors!A:E,4,0), 0)</f>
        <v>0</v>
      </c>
      <c r="I10" s="30">
        <f>_xlfn.IFNA(VLOOKUP(G10,Armors!A:E,5,0), 0)</f>
        <v>0</v>
      </c>
      <c r="J10" s="30">
        <f>_xlfn.IFNA(VLOOKUP(G10,Armors!A:G,7,0), 0)</f>
        <v>0</v>
      </c>
    </row>
    <row r="11" spans="1:11" ht="12.75" customHeight="1" x14ac:dyDescent="0.2">
      <c r="B11" s="34" t="s">
        <v>962</v>
      </c>
      <c r="C11" s="30">
        <v>12</v>
      </c>
      <c r="D11" s="28">
        <v>12</v>
      </c>
      <c r="G11" s="32" t="s">
        <v>1101</v>
      </c>
      <c r="H11" s="32" t="s">
        <v>236</v>
      </c>
      <c r="I11" s="32" t="s">
        <v>1102</v>
      </c>
      <c r="J11" s="32" t="s">
        <v>1110</v>
      </c>
    </row>
    <row r="12" spans="1:11" ht="12.75" customHeight="1" x14ac:dyDescent="0.2">
      <c r="B12" s="34" t="s">
        <v>963</v>
      </c>
      <c r="C12" s="30">
        <v>9</v>
      </c>
      <c r="D12" s="28">
        <v>9</v>
      </c>
      <c r="F12" s="33" t="s">
        <v>1099</v>
      </c>
      <c r="G12" s="28" t="s">
        <v>245</v>
      </c>
      <c r="H12" s="30">
        <f>_xlfn.IFNA(VLOOKUP(G12,'Weapon Calculator'!B:D,2,), 0)</f>
        <v>0</v>
      </c>
      <c r="I12" s="30">
        <f>_xlfn.IFNA(VLOOKUP(G12,'Weapon Calculator'!B:D,3,),0)</f>
        <v>5</v>
      </c>
      <c r="J12" s="30" t="str">
        <f>_xlfn.IFNA(VLOOKUP(G12,'Weapon Calculator'!B:I,8,),0)</f>
        <v>4/0/0/0</v>
      </c>
    </row>
    <row r="13" spans="1:11" ht="12.75" customHeight="1" x14ac:dyDescent="0.2">
      <c r="B13" s="34" t="s">
        <v>964</v>
      </c>
      <c r="C13" s="30">
        <v>12</v>
      </c>
      <c r="D13" s="28">
        <v>12</v>
      </c>
      <c r="F13" s="33" t="s">
        <v>1099</v>
      </c>
      <c r="G13" s="28" t="s">
        <v>478</v>
      </c>
      <c r="H13" s="30">
        <f>_xlfn.IFNA(VLOOKUP(G13,'Weapon Calculator'!B:D,2,), 0)</f>
        <v>1</v>
      </c>
      <c r="I13" s="30">
        <f>_xlfn.IFNA(VLOOKUP(G13,'Weapon Calculator'!B:D,3,),0)</f>
        <v>10</v>
      </c>
      <c r="J13" s="30" t="str">
        <f>_xlfn.IFNA(VLOOKUP(G13,'Weapon Calculator'!B:I,8,),0)</f>
        <v>6/0/0/0</v>
      </c>
    </row>
    <row r="14" spans="1:11" ht="12.75" customHeight="1" x14ac:dyDescent="0.2">
      <c r="B14" s="34" t="s">
        <v>965</v>
      </c>
      <c r="C14" s="30">
        <v>10</v>
      </c>
      <c r="D14" s="28">
        <v>10</v>
      </c>
      <c r="F14" s="33" t="s">
        <v>1100</v>
      </c>
      <c r="G14" s="28" t="s">
        <v>240</v>
      </c>
      <c r="H14" s="30">
        <f>_xlfn.IFNA(VLOOKUP(G14,'Weapon Calculator'!B:D,2,), 0)</f>
        <v>0.5</v>
      </c>
      <c r="I14" s="30">
        <f>_xlfn.IFNA(VLOOKUP(G14,'Weapon Calculator'!B:D,3,),0)</f>
        <v>5</v>
      </c>
      <c r="J14" s="30" t="str">
        <f>_xlfn.IFNA(VLOOKUP(G14,'Weapon Calculator'!B:I,8,),0)</f>
        <v>5/8/0/0</v>
      </c>
    </row>
    <row r="15" spans="1:11" ht="12.75" customHeight="1" x14ac:dyDescent="0.2">
      <c r="B15" s="34" t="s">
        <v>966</v>
      </c>
      <c r="C15" s="30">
        <v>8</v>
      </c>
      <c r="D15" s="28">
        <v>8</v>
      </c>
      <c r="F15" s="33" t="s">
        <v>1100</v>
      </c>
      <c r="G15" s="28" t="s">
        <v>477</v>
      </c>
      <c r="H15" s="30">
        <f>_xlfn.IFNA(VLOOKUP(G15,'Weapon Calculator'!B:D,2,), 0)</f>
        <v>2</v>
      </c>
      <c r="I15" s="30">
        <f>_xlfn.IFNA(VLOOKUP(G15,'Weapon Calculator'!B:D,3,),0)</f>
        <v>20</v>
      </c>
      <c r="J15" s="30" t="str">
        <f>_xlfn.IFNA(VLOOKUP(G15,'Weapon Calculator'!B:I,8,),0)</f>
        <v>8/8/0/0</v>
      </c>
    </row>
    <row r="16" spans="1:11" ht="12.75" customHeight="1" x14ac:dyDescent="0.2">
      <c r="G16" s="32" t="s">
        <v>1101</v>
      </c>
    </row>
    <row r="17" spans="6:9" ht="12.75" customHeight="1" x14ac:dyDescent="0.2">
      <c r="F17" s="33" t="s">
        <v>595</v>
      </c>
      <c r="G17" s="28" t="s">
        <v>30</v>
      </c>
    </row>
    <row r="18" spans="6:9" ht="12.75" customHeight="1" x14ac:dyDescent="0.2">
      <c r="F18" s="33" t="s">
        <v>1103</v>
      </c>
      <c r="G18" s="28" t="s">
        <v>195</v>
      </c>
    </row>
    <row r="19" spans="6:9" ht="12.75" customHeight="1" x14ac:dyDescent="0.2"/>
    <row r="20" spans="6:9" ht="12.75" customHeight="1" x14ac:dyDescent="0.2"/>
    <row r="21" spans="6:9" ht="12.75" customHeight="1" x14ac:dyDescent="0.2">
      <c r="F21" s="35"/>
      <c r="G21" s="36"/>
      <c r="H21" s="36"/>
      <c r="I21" s="36"/>
    </row>
    <row r="22" spans="6:9" ht="12.75" customHeight="1" x14ac:dyDescent="0.2"/>
    <row r="23" spans="6:9" ht="12.75" customHeight="1" x14ac:dyDescent="0.2"/>
    <row r="24" spans="6:9" ht="12.75" customHeight="1" x14ac:dyDescent="0.2"/>
    <row r="25" spans="6:9" ht="12.75" customHeight="1" x14ac:dyDescent="0.2"/>
    <row r="26" spans="6:9" ht="12.75" customHeight="1" x14ac:dyDescent="0.2"/>
    <row r="27" spans="6:9" ht="12.75" customHeight="1" x14ac:dyDescent="0.2"/>
    <row r="28" spans="6:9" ht="12.75" customHeight="1" x14ac:dyDescent="0.2"/>
  </sheetData>
  <sheetProtection sheet="1" objects="1" scenarios="1" formatCells="0" insertColumns="0" insertRows="0" insertHyperlinks="0" deleteColumns="0" deleteRows="0" sort="0" autoFilter="0" pivotTables="0"/>
  <conditionalFormatting sqref="F3:K3">
    <cfRule type="expression" dxfId="3" priority="2">
      <formula>OR($I3="Fat Roll", $I3="Overloaded")</formula>
    </cfRule>
    <cfRule type="expression" dxfId="2" priority="3">
      <formula>$I3="Mid Roll"</formula>
    </cfRule>
    <cfRule type="expression" dxfId="1" priority="4">
      <formula>$I3="Fast Roll"</formula>
    </cfRule>
  </conditionalFormatting>
  <dataValidations count="4">
    <dataValidation type="list" allowBlank="1" showInputMessage="1" showErrorMessage="1" sqref="G7" xr:uid="{472965D2-D487-4433-B0E7-F29FD3F48D4C}">
      <formula1>Armor_Head</formula1>
    </dataValidation>
    <dataValidation type="list" allowBlank="1" showInputMessage="1" showErrorMessage="1" sqref="G8" xr:uid="{19E52AF9-41EB-461F-9F60-2630ED07648D}">
      <formula1>Armor_Body</formula1>
    </dataValidation>
    <dataValidation type="list" allowBlank="1" showInputMessage="1" showErrorMessage="1" sqref="G9" xr:uid="{7F82A7A3-319E-4E1F-A0FC-B560C756182A}">
      <formula1>Armor_Hands</formula1>
    </dataValidation>
    <dataValidation type="list" allowBlank="1" showInputMessage="1" showErrorMessage="1" sqref="G10" xr:uid="{561DA783-BA28-43B5-A03E-E558A49E0CD9}">
      <formula1>Armor_Legs</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5" id="{904E6707-D60F-4414-80FD-7FB757A0455A}">
            <xm:f>(AND(((VLOOKUP(G12,'Weapon Calculator'!B:H,4,0))&lt;=$D$11),((VLOOKUP(G12,'Weapon Calculator'!B:H,5,0))&lt;=$D$12),((VLOOKUP(G12,'Weapon Calculator'!B:H,6,0))&lt;=$D$14),((VLOOKUP(G12,'Weapon Calculator'!B:H,7,0))&lt;=$D$15)))=FALSE</xm:f>
            <x14:dxf>
              <fill>
                <patternFill>
                  <bgColor rgb="FFFF0000"/>
                </patternFill>
              </fill>
            </x14:dxf>
          </x14:cfRule>
          <xm:sqref>J12:J15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317986D-AEA0-4434-8007-F135A659A0E4}">
          <x14:formula1>
            <xm:f>Classes!$A$2:$A$11</xm:f>
          </x14:formula1>
          <xm:sqref>B3</xm:sqref>
        </x14:dataValidation>
        <x14:dataValidation type="list" allowBlank="1" showInputMessage="1" showErrorMessage="1" xr:uid="{10E63105-A379-4416-ADDD-3F7786FB44E9}">
          <x14:formula1>
            <xm:f>'Weapon Calculator'!$B$2:$B$185</xm:f>
          </x14:formula1>
          <xm:sqref>G12:G15</xm:sqref>
        </x14:dataValidation>
        <x14:dataValidation type="list" allowBlank="1" showInputMessage="1" showErrorMessage="1" xr:uid="{2C866540-9D45-4E81-BBF1-5A78A9DB70B1}">
          <x14:formula1>
            <xm:f>Accessories!$C$2:$C$43</xm:f>
          </x14:formula1>
          <xm:sqref>G17:G18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D584-09B7-493F-97FF-5F3D7DF9E6CE}">
  <sheetPr codeName="Sheet1">
    <tabColor rgb="FF92D050"/>
  </sheetPr>
  <dimension ref="A1:B19"/>
  <sheetViews>
    <sheetView workbookViewId="0">
      <selection activeCell="B25" sqref="B25"/>
    </sheetView>
  </sheetViews>
  <sheetFormatPr defaultColWidth="15.7109375" defaultRowHeight="12.75" x14ac:dyDescent="0.2"/>
  <cols>
    <col min="1" max="1" width="11.140625" customWidth="1"/>
    <col min="2" max="2" width="118.85546875" bestFit="1" customWidth="1"/>
  </cols>
  <sheetData>
    <row r="1" spans="1:2" x14ac:dyDescent="0.2">
      <c r="A1" t="s">
        <v>1115</v>
      </c>
      <c r="B1" t="s">
        <v>1116</v>
      </c>
    </row>
    <row r="2" spans="1:2" x14ac:dyDescent="0.2">
      <c r="B2" t="s">
        <v>1117</v>
      </c>
    </row>
    <row r="3" spans="1:2" x14ac:dyDescent="0.2">
      <c r="B3" t="s">
        <v>1118</v>
      </c>
    </row>
    <row r="4" spans="1:2" x14ac:dyDescent="0.2">
      <c r="B4" t="s">
        <v>1119</v>
      </c>
    </row>
    <row r="7" spans="1:2" ht="38.25" x14ac:dyDescent="0.2">
      <c r="A7" s="39" t="s">
        <v>1120</v>
      </c>
      <c r="B7" t="s">
        <v>1121</v>
      </c>
    </row>
    <row r="8" spans="1:2" x14ac:dyDescent="0.2">
      <c r="A8" s="39"/>
      <c r="B8" t="s">
        <v>1125</v>
      </c>
    </row>
    <row r="11" spans="1:2" x14ac:dyDescent="0.2">
      <c r="A11" s="39" t="s">
        <v>1122</v>
      </c>
      <c r="B11" t="s">
        <v>1123</v>
      </c>
    </row>
    <row r="12" spans="1:2" x14ac:dyDescent="0.2">
      <c r="B12" t="s">
        <v>1124</v>
      </c>
    </row>
    <row r="13" spans="1:2" x14ac:dyDescent="0.2">
      <c r="B13" t="s">
        <v>1133</v>
      </c>
    </row>
    <row r="16" spans="1:2" ht="25.5" x14ac:dyDescent="0.2">
      <c r="A16" t="s">
        <v>1126</v>
      </c>
      <c r="B16" t="s">
        <v>1130</v>
      </c>
    </row>
    <row r="17" spans="2:2" x14ac:dyDescent="0.2">
      <c r="B17" t="s">
        <v>1127</v>
      </c>
    </row>
    <row r="18" spans="2:2" x14ac:dyDescent="0.2">
      <c r="B18" t="s">
        <v>1128</v>
      </c>
    </row>
    <row r="19" spans="2:2" x14ac:dyDescent="0.2">
      <c r="B19" t="s">
        <v>1129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EE72-F789-47B7-AF3C-DE4AD0D7A817}">
  <sheetPr codeName="Sheet8">
    <tabColor rgb="FFFFFF00"/>
  </sheetPr>
  <dimension ref="A1:D64"/>
  <sheetViews>
    <sheetView workbookViewId="0">
      <selection activeCell="C34" sqref="C34"/>
    </sheetView>
  </sheetViews>
  <sheetFormatPr defaultColWidth="15.7109375" defaultRowHeight="12.75" x14ac:dyDescent="0.2"/>
  <cols>
    <col min="1" max="1" width="29" bestFit="1" customWidth="1"/>
    <col min="2" max="2" width="25.7109375" bestFit="1" customWidth="1"/>
    <col min="3" max="3" width="24.85546875" bestFit="1" customWidth="1"/>
    <col min="4" max="4" width="24.7109375" bestFit="1" customWidth="1"/>
  </cols>
  <sheetData>
    <row r="1" spans="1:4" x14ac:dyDescent="0.2">
      <c r="A1" t="s">
        <v>594</v>
      </c>
      <c r="B1" t="s">
        <v>640</v>
      </c>
      <c r="C1" t="s">
        <v>639</v>
      </c>
      <c r="D1" t="s">
        <v>938</v>
      </c>
    </row>
    <row r="2" spans="1:4" x14ac:dyDescent="0.2">
      <c r="A2" t="str" cm="1">
        <f t="array" ref="A2:A64">_xlfn._xlws.FILTER(Armors!$A$2:$A$223, Armors!$C$2:$C$223="Head")</f>
        <v>Empty</v>
      </c>
      <c r="B2" t="str" cm="1">
        <f t="array" ref="B2:B55">_xlfn._xlws.FILTER(Armors!$A$2:$A$223, Armors!$C$2:$C$223="Legs")</f>
        <v>Empty</v>
      </c>
      <c r="C2" t="str" cm="1">
        <f t="array" ref="C2:C55">_xlfn._xlws.FILTER(Armors!$A$2:$A$223, Armors!$C$2:$C$223="Body")</f>
        <v>Empty</v>
      </c>
      <c r="D2" t="str" cm="1">
        <f t="array" ref="D2:D52">_xlfn._xlws.FILTER(Armors!$A$2:$A$223, Armors!$C$2:$C$223="Hands")</f>
        <v>Empty</v>
      </c>
    </row>
    <row r="3" spans="1:4" x14ac:dyDescent="0.2">
      <c r="A3" t="str">
        <v>Balder Helm</v>
      </c>
      <c r="B3" t="str">
        <v>Anklet of the Great Lord</v>
      </c>
      <c r="C3" t="str">
        <v>Antiquated Dress</v>
      </c>
      <c r="D3" t="str">
        <v>Antiquated Gloves</v>
      </c>
    </row>
    <row r="4" spans="1:4" x14ac:dyDescent="0.2">
      <c r="A4" t="str">
        <v>Big Hat</v>
      </c>
      <c r="B4" t="str">
        <v>Antiquated Skirt</v>
      </c>
      <c r="C4" t="str">
        <v>Armor of the Glorious</v>
      </c>
      <c r="D4" t="str">
        <v>Balder Gauntlets</v>
      </c>
    </row>
    <row r="5" spans="1:4" x14ac:dyDescent="0.2">
      <c r="A5" t="str">
        <v>Black Iron Helm</v>
      </c>
      <c r="B5" t="str">
        <v>Balder Leggings</v>
      </c>
      <c r="C5" t="str">
        <v>Armor of the Sun</v>
      </c>
      <c r="D5" t="str">
        <v>Black Iron Gauntlets</v>
      </c>
    </row>
    <row r="6" spans="1:4" x14ac:dyDescent="0.2">
      <c r="A6" t="str">
        <v>Black Knight Helm</v>
      </c>
      <c r="B6" t="str">
        <v>Black Iron Leggings</v>
      </c>
      <c r="C6" t="str">
        <v>Armor of Thorns</v>
      </c>
      <c r="D6" t="str">
        <v>Black Knight Gauntlets</v>
      </c>
    </row>
    <row r="7" spans="1:4" x14ac:dyDescent="0.2">
      <c r="A7" t="str">
        <v>Black Sorcerer Hat</v>
      </c>
      <c r="B7" t="str">
        <v>Black Knight Leggings</v>
      </c>
      <c r="C7" t="str">
        <v>Balder Armor</v>
      </c>
      <c r="D7" t="str">
        <v>Black Leather Gloves</v>
      </c>
    </row>
    <row r="8" spans="1:4" x14ac:dyDescent="0.2">
      <c r="A8" t="str">
        <v>Brass Helm</v>
      </c>
      <c r="B8" t="str">
        <v>Black Leather Boots</v>
      </c>
      <c r="C8" t="str">
        <v>Black Cleric Robe</v>
      </c>
      <c r="D8" t="str">
        <v>Black Manchette</v>
      </c>
    </row>
    <row r="9" spans="1:4" x14ac:dyDescent="0.2">
      <c r="A9" t="str">
        <v>Brigand Hood</v>
      </c>
      <c r="B9" t="str">
        <v>Black Sorcerer Boots</v>
      </c>
      <c r="C9" t="str">
        <v>Black Iron Armor</v>
      </c>
      <c r="D9" t="str">
        <v>Black Sorcerer Gauntlets</v>
      </c>
    </row>
    <row r="10" spans="1:4" x14ac:dyDescent="0.2">
      <c r="A10" t="str">
        <v>Catarina Helm</v>
      </c>
      <c r="B10" t="str">
        <v>Black Tights</v>
      </c>
      <c r="C10" t="str">
        <v>Black Knight Armor</v>
      </c>
      <c r="D10" t="str">
        <v>Bracelet of the Great Lord</v>
      </c>
    </row>
    <row r="11" spans="1:4" x14ac:dyDescent="0.2">
      <c r="A11" t="str">
        <v>Chain Helm</v>
      </c>
      <c r="B11" t="str">
        <v>Blood-Stained Skirt</v>
      </c>
      <c r="C11" t="str">
        <v>Black Leather Armor</v>
      </c>
      <c r="D11" t="str">
        <v>Brass Gauntlets</v>
      </c>
    </row>
    <row r="12" spans="1:4" x14ac:dyDescent="0.2">
      <c r="A12" t="str">
        <v>Cleric Helm</v>
      </c>
      <c r="B12" t="str">
        <v>Boots of the Explorer</v>
      </c>
      <c r="C12" t="str">
        <v>Black Sorcerer Cloak</v>
      </c>
      <c r="D12" t="str">
        <v>Brigand Gauntlets</v>
      </c>
    </row>
    <row r="13" spans="1:4" x14ac:dyDescent="0.2">
      <c r="A13" t="str">
        <v>Crown of Dusk</v>
      </c>
      <c r="B13" t="str">
        <v>Brass Leggings</v>
      </c>
      <c r="C13" t="str">
        <v>Brass Armor</v>
      </c>
      <c r="D13" t="str">
        <v>Catarina Gauntlets</v>
      </c>
    </row>
    <row r="14" spans="1:4" x14ac:dyDescent="0.2">
      <c r="A14" t="str">
        <v>Crown of the Dark Sun</v>
      </c>
      <c r="B14" t="str">
        <v>Brigand Trousers</v>
      </c>
      <c r="C14" t="str">
        <v>Brigand Armor</v>
      </c>
      <c r="D14" t="str">
        <v>Cleric Gauntlets</v>
      </c>
    </row>
    <row r="15" spans="1:4" x14ac:dyDescent="0.2">
      <c r="A15" t="str">
        <v>Crown of the Great Lord</v>
      </c>
      <c r="B15" t="str">
        <v>Catarina Leggings</v>
      </c>
      <c r="C15" t="str">
        <v>Catarina Armor</v>
      </c>
      <c r="D15" t="str">
        <v>Crimson Gloves</v>
      </c>
    </row>
    <row r="16" spans="1:4" x14ac:dyDescent="0.2">
      <c r="A16" t="str">
        <v>Crystalline Helm</v>
      </c>
      <c r="B16" t="str">
        <v>Chain Leggings</v>
      </c>
      <c r="C16" t="str">
        <v>Chain Armor</v>
      </c>
      <c r="D16" t="str">
        <v>Crystalline Gauntlets</v>
      </c>
    </row>
    <row r="17" spans="1:4" x14ac:dyDescent="0.2">
      <c r="A17" t="str">
        <v>Dark Mask</v>
      </c>
      <c r="B17" t="str">
        <v>Cleric Leggings</v>
      </c>
      <c r="C17" t="str">
        <v>Cleric Armor</v>
      </c>
      <c r="D17" t="str">
        <v>Dark Gauntlets</v>
      </c>
    </row>
    <row r="18" spans="1:4" x14ac:dyDescent="0.2">
      <c r="A18" t="str">
        <v>Dingy Hood</v>
      </c>
      <c r="B18" t="str">
        <v>Crimson Waistcloth</v>
      </c>
      <c r="C18" t="str">
        <v>Crimson Robe</v>
      </c>
      <c r="D18" t="str">
        <v>Dingy Gloves</v>
      </c>
    </row>
    <row r="19" spans="1:4" x14ac:dyDescent="0.2">
      <c r="A19" t="str">
        <v>Eastern Helm</v>
      </c>
      <c r="B19" t="str">
        <v>Crystalline Leggings</v>
      </c>
      <c r="C19" t="str">
        <v>Crystalline Armor</v>
      </c>
      <c r="D19" t="str">
        <v>Eastern Gauntlets</v>
      </c>
    </row>
    <row r="20" spans="1:4" x14ac:dyDescent="0.2">
      <c r="A20" t="str">
        <v>Elite Cleric Helm</v>
      </c>
      <c r="B20" t="str">
        <v>Dark Leggings</v>
      </c>
      <c r="C20" t="str">
        <v>Dark Armor</v>
      </c>
      <c r="D20" t="str">
        <v>Elite Cleric Gauntlets</v>
      </c>
    </row>
    <row r="21" spans="1:4" x14ac:dyDescent="0.2">
      <c r="A21" t="str">
        <v>Elite Knight Helm</v>
      </c>
      <c r="B21" t="str">
        <v>Eastern Leggings</v>
      </c>
      <c r="C21" t="str">
        <v>Dingy Robe</v>
      </c>
      <c r="D21" t="str">
        <v>Elite Knight Gauntlets</v>
      </c>
    </row>
    <row r="22" spans="1:4" x14ac:dyDescent="0.2">
      <c r="A22" t="str">
        <v>Fang Boar Helm</v>
      </c>
      <c r="B22" t="str">
        <v>Elite Cleric Leggings</v>
      </c>
      <c r="C22" t="str">
        <v>Eastern Armor</v>
      </c>
      <c r="D22" t="str">
        <v>Gauntlets of Favor</v>
      </c>
    </row>
    <row r="23" spans="1:4" x14ac:dyDescent="0.2">
      <c r="A23" t="str">
        <v>Gargoyle Helm</v>
      </c>
      <c r="B23" t="str">
        <v>Elite Knight Leggings</v>
      </c>
      <c r="C23" t="str">
        <v>Elite Cleric Armor</v>
      </c>
      <c r="D23" t="str">
        <v>Gauntlets of the Channelers</v>
      </c>
    </row>
    <row r="24" spans="1:4" x14ac:dyDescent="0.2">
      <c r="A24" t="str">
        <v>Giant Helm</v>
      </c>
      <c r="B24" t="str">
        <v>Giant Leggings</v>
      </c>
      <c r="C24" t="str">
        <v>Elite Knight Armor</v>
      </c>
      <c r="D24" t="str">
        <v>Gauntlets of the Vanquisher</v>
      </c>
    </row>
    <row r="25" spans="1:4" x14ac:dyDescent="0.2">
      <c r="A25" t="str">
        <v>Gold-Hemmed Black Hood</v>
      </c>
      <c r="B25" t="str">
        <v>Gold-Hemmed Black Skirt</v>
      </c>
      <c r="C25" t="str">
        <v>Embraced Armor of Favor</v>
      </c>
      <c r="D25" t="str">
        <v>Gauntlets of Thorns</v>
      </c>
    </row>
    <row r="26" spans="1:4" x14ac:dyDescent="0.2">
      <c r="A26" t="str">
        <v>Golem Helm</v>
      </c>
      <c r="B26" t="str">
        <v>Golem Leggings</v>
      </c>
      <c r="C26" t="str">
        <v>Giant Armor</v>
      </c>
      <c r="D26" t="str">
        <v>Giant Gauntlets</v>
      </c>
    </row>
    <row r="27" spans="1:4" x14ac:dyDescent="0.2">
      <c r="A27" t="str">
        <v>Havel's Helm</v>
      </c>
      <c r="B27" t="str">
        <v>Hard Leather Boots</v>
      </c>
      <c r="C27" t="str">
        <v>Gold-Hemmed Black Cloak</v>
      </c>
      <c r="D27" t="str">
        <v>Gold-Hemmed Black Gloves</v>
      </c>
    </row>
    <row r="28" spans="1:4" x14ac:dyDescent="0.2">
      <c r="A28" t="str">
        <v>Helm of Favor</v>
      </c>
      <c r="B28" t="str">
        <v>Havel's Leggings</v>
      </c>
      <c r="C28" t="str">
        <v>Golem Armor</v>
      </c>
      <c r="D28" t="str">
        <v>Golem Gauntlets</v>
      </c>
    </row>
    <row r="29" spans="1:4" x14ac:dyDescent="0.2">
      <c r="A29" t="str">
        <v>Helm of the Wise</v>
      </c>
      <c r="B29" t="str">
        <v>Heavy Boots</v>
      </c>
      <c r="C29" t="str">
        <v>Hard Leather Armor</v>
      </c>
      <c r="D29" t="str">
        <v>Hard Leather Gauntlets</v>
      </c>
    </row>
    <row r="30" spans="1:4" x14ac:dyDescent="0.2">
      <c r="A30" t="str">
        <v>Helm of Thorns</v>
      </c>
      <c r="B30" t="str">
        <v>Hollow Soldier Waistcloth</v>
      </c>
      <c r="C30" t="str">
        <v>Havel's Armor</v>
      </c>
      <c r="D30" t="str">
        <v>Havel's Gauntlets</v>
      </c>
    </row>
    <row r="31" spans="1:4" x14ac:dyDescent="0.2">
      <c r="A31" t="str">
        <v>Hollow Soldier Helm</v>
      </c>
      <c r="B31" t="str">
        <v>Hollow Thief's Tights</v>
      </c>
      <c r="C31" t="str">
        <v>Hollow Soldier Armor</v>
      </c>
      <c r="D31" t="str">
        <v>Iron Bracelet</v>
      </c>
    </row>
    <row r="32" spans="1:4" x14ac:dyDescent="0.2">
      <c r="A32" t="str">
        <v>Hollow Thief's Hood</v>
      </c>
      <c r="B32" t="str">
        <v>Hollow Warrior Waistcloth</v>
      </c>
      <c r="C32" t="str">
        <v>Hollow Thief's Leather Armor</v>
      </c>
      <c r="D32" t="str">
        <v>Knight Gauntlets</v>
      </c>
    </row>
    <row r="33" spans="1:4" x14ac:dyDescent="0.2">
      <c r="A33" t="str">
        <v>Hollow Warrior Helm</v>
      </c>
      <c r="B33" t="str">
        <v>Holy Trousers</v>
      </c>
      <c r="C33" t="str">
        <v>Hollow Warrior Armor</v>
      </c>
      <c r="D33" t="str">
        <v>Leather Gauntlets</v>
      </c>
    </row>
    <row r="34" spans="1:4" x14ac:dyDescent="0.2">
      <c r="A34" t="str">
        <v>Iron Helm</v>
      </c>
      <c r="B34" t="str">
        <v>Iron Leggings</v>
      </c>
      <c r="C34" t="str">
        <v>Holy Robe</v>
      </c>
      <c r="D34" t="str">
        <v>Leather Gloves</v>
      </c>
    </row>
    <row r="35" spans="1:4" x14ac:dyDescent="0.2">
      <c r="A35" t="str">
        <v>Knight Helm</v>
      </c>
      <c r="B35" t="str">
        <v>Knight Leggings</v>
      </c>
      <c r="C35" t="str">
        <v>Knight Armor</v>
      </c>
      <c r="D35" t="str">
        <v>Mage Smith Gauntlets</v>
      </c>
    </row>
    <row r="36" spans="1:4" x14ac:dyDescent="0.2">
      <c r="A36" t="str">
        <v>Mage Smith Hat</v>
      </c>
      <c r="B36" t="str">
        <v>Leather Boots</v>
      </c>
      <c r="C36" t="str">
        <v>Leather Armor</v>
      </c>
      <c r="D36" t="str">
        <v>Maiden Gloves</v>
      </c>
    </row>
    <row r="37" spans="1:4" x14ac:dyDescent="0.2">
      <c r="A37" t="str">
        <v>Maiden Hood</v>
      </c>
      <c r="B37" t="str">
        <v>Leggings of Favor</v>
      </c>
      <c r="C37" t="str">
        <v>Mage Smith Coat</v>
      </c>
      <c r="D37" t="str">
        <v>Moonlight Gloves</v>
      </c>
    </row>
    <row r="38" spans="1:4" x14ac:dyDescent="0.2">
      <c r="A38" t="str">
        <v>Mask of the Child</v>
      </c>
      <c r="B38" t="str">
        <v>Leggings of Thorns</v>
      </c>
      <c r="C38" t="str">
        <v>Maiden Robe</v>
      </c>
      <c r="D38" t="str">
        <v>Ornstein's Gauntlets</v>
      </c>
    </row>
    <row r="39" spans="1:4" x14ac:dyDescent="0.2">
      <c r="A39" t="str">
        <v>Mask of the Father</v>
      </c>
      <c r="B39" t="str">
        <v>Mage Smith Boots</v>
      </c>
      <c r="C39" t="str">
        <v>Moonlight Robe</v>
      </c>
      <c r="D39" t="str">
        <v>Painting Guardian Gloves</v>
      </c>
    </row>
    <row r="40" spans="1:4" x14ac:dyDescent="0.2">
      <c r="A40" t="str">
        <v>Mask of the Mother</v>
      </c>
      <c r="B40" t="str">
        <v>Maiden Skirt</v>
      </c>
      <c r="C40" t="str">
        <v>Ornstein's Armor</v>
      </c>
      <c r="D40" t="str">
        <v>Paladin Gauntlets</v>
      </c>
    </row>
    <row r="41" spans="1:4" x14ac:dyDescent="0.2">
      <c r="A41" t="str">
        <v>Mask of the Sealer</v>
      </c>
      <c r="B41" t="str">
        <v>Moonlight Waistcloth</v>
      </c>
      <c r="C41" t="str">
        <v>Painting Guardian Robe</v>
      </c>
      <c r="D41" t="str">
        <v>Shadow Gauntlets</v>
      </c>
    </row>
    <row r="42" spans="1:4" x14ac:dyDescent="0.2">
      <c r="A42" t="str">
        <v>Mask of Velka</v>
      </c>
      <c r="B42" t="str">
        <v>Ornstein's Leggings</v>
      </c>
      <c r="C42" t="str">
        <v>Paladin Armor</v>
      </c>
      <c r="D42" t="str">
        <v>Silver Knight Gauntlets</v>
      </c>
    </row>
    <row r="43" spans="1:4" x14ac:dyDescent="0.2">
      <c r="A43" t="str">
        <v>Ornstein's Helm</v>
      </c>
      <c r="B43" t="str">
        <v>Painting Guardian Waistcloth</v>
      </c>
      <c r="C43" t="str">
        <v>Robe of the Channelers</v>
      </c>
      <c r="D43" t="str">
        <v>Smough's Gauntlets</v>
      </c>
    </row>
    <row r="44" spans="1:4" x14ac:dyDescent="0.2">
      <c r="A44" t="str">
        <v>Painting Guardian Hood</v>
      </c>
      <c r="B44" t="str">
        <v>Paladin Leggings</v>
      </c>
      <c r="C44" t="str">
        <v>Robe of the Great Lord</v>
      </c>
      <c r="D44" t="str">
        <v>Sorcerer Gauntlets</v>
      </c>
    </row>
    <row r="45" spans="1:4" x14ac:dyDescent="0.2">
      <c r="A45" t="str">
        <v>Paladin Helm</v>
      </c>
      <c r="B45" t="str">
        <v>Shadow Leggings</v>
      </c>
      <c r="C45" t="str">
        <v>Sage Robe</v>
      </c>
      <c r="D45" t="str">
        <v>Steel Gauntlets</v>
      </c>
    </row>
    <row r="46" spans="1:4" x14ac:dyDescent="0.2">
      <c r="A46" t="str">
        <v>Pharis's Hat</v>
      </c>
      <c r="B46" t="str">
        <v>Silver Knight Leggings</v>
      </c>
      <c r="C46" t="str">
        <v>Shadow Garb</v>
      </c>
      <c r="D46" t="str">
        <v>Stone Gauntlets</v>
      </c>
    </row>
    <row r="47" spans="1:4" x14ac:dyDescent="0.2">
      <c r="A47" t="str">
        <v>Priest's Hat</v>
      </c>
      <c r="B47" t="str">
        <v>Smough's Leggings</v>
      </c>
      <c r="C47" t="str">
        <v>Silver Knight Armor</v>
      </c>
      <c r="D47" t="str">
        <v>Tattered Cloth Manchette</v>
      </c>
    </row>
    <row r="48" spans="1:4" x14ac:dyDescent="0.2">
      <c r="A48" t="str">
        <v>Royal Helm</v>
      </c>
      <c r="B48" t="str">
        <v>Sorcerer Boots</v>
      </c>
      <c r="C48" t="str">
        <v>Smough's Armor</v>
      </c>
      <c r="D48" t="str">
        <v>Traveling Gloves</v>
      </c>
    </row>
    <row r="49" spans="1:4" x14ac:dyDescent="0.2">
      <c r="A49" t="str">
        <v>Sack</v>
      </c>
      <c r="B49" t="str">
        <v>Steel Leggings</v>
      </c>
      <c r="C49" t="str">
        <v>Sorcerer Cloak</v>
      </c>
      <c r="D49" t="str">
        <v>Traveling Gloves</v>
      </c>
    </row>
    <row r="50" spans="1:4" x14ac:dyDescent="0.2">
      <c r="A50" t="str">
        <v>Shadow Mask</v>
      </c>
      <c r="B50" t="str">
        <v>Stone Leggings</v>
      </c>
      <c r="C50" t="str">
        <v>Steel Armor</v>
      </c>
      <c r="D50" t="str">
        <v>Wanderer Manchette</v>
      </c>
    </row>
    <row r="51" spans="1:4" x14ac:dyDescent="0.2">
      <c r="A51" t="str">
        <v>Silver Knight Helm</v>
      </c>
      <c r="B51" t="str">
        <v>Traveling Boots</v>
      </c>
      <c r="C51" t="str">
        <v>Stone Armor</v>
      </c>
      <c r="D51" t="str">
        <v>Witch Gloves</v>
      </c>
    </row>
    <row r="52" spans="1:4" x14ac:dyDescent="0.2">
      <c r="A52" t="str">
        <v>Six-Eyed Helm of the Channelers</v>
      </c>
      <c r="B52" t="str">
        <v>Waistcloth of the Channelers</v>
      </c>
      <c r="C52" t="str">
        <v>Tattered Cloth Robe</v>
      </c>
      <c r="D52" t="str">
        <v>Xanthous Gloves</v>
      </c>
    </row>
    <row r="53" spans="1:4" x14ac:dyDescent="0.2">
      <c r="A53" t="str">
        <v>Smough's Helm</v>
      </c>
      <c r="B53" t="str">
        <v>Wanderer Boots</v>
      </c>
      <c r="C53" t="str">
        <v>Wanderer Coat</v>
      </c>
    </row>
    <row r="54" spans="1:4" x14ac:dyDescent="0.2">
      <c r="A54" t="str">
        <v>Sorcerer Hat</v>
      </c>
      <c r="B54" t="str">
        <v>Witch Skirt</v>
      </c>
      <c r="C54" t="str">
        <v>Witch Cloak</v>
      </c>
    </row>
    <row r="55" spans="1:4" x14ac:dyDescent="0.2">
      <c r="A55" t="str">
        <v>Standard Helm</v>
      </c>
      <c r="B55" t="str">
        <v>Xanthous Waistcloth</v>
      </c>
      <c r="C55" t="str">
        <v>Xanthous Overcoat</v>
      </c>
    </row>
    <row r="56" spans="1:4" x14ac:dyDescent="0.2">
      <c r="A56" t="str">
        <v>Steel Helm</v>
      </c>
    </row>
    <row r="57" spans="1:4" x14ac:dyDescent="0.2">
      <c r="A57" t="str">
        <v>Stone Helm</v>
      </c>
    </row>
    <row r="58" spans="1:4" x14ac:dyDescent="0.2">
      <c r="A58" t="str">
        <v>Sunlight Maggot</v>
      </c>
    </row>
    <row r="59" spans="1:4" x14ac:dyDescent="0.2">
      <c r="A59" t="str">
        <v>Symbol of Avarice</v>
      </c>
    </row>
    <row r="60" spans="1:4" x14ac:dyDescent="0.2">
      <c r="A60" t="str">
        <v>Tattered Cloth Hood</v>
      </c>
    </row>
    <row r="61" spans="1:4" x14ac:dyDescent="0.2">
      <c r="A61" t="str">
        <v>Thief Mask</v>
      </c>
    </row>
    <row r="62" spans="1:4" x14ac:dyDescent="0.2">
      <c r="A62" t="str">
        <v>Wanderer Hood</v>
      </c>
    </row>
    <row r="63" spans="1:4" x14ac:dyDescent="0.2">
      <c r="A63" t="str">
        <v>Witch Hat</v>
      </c>
    </row>
    <row r="64" spans="1:4" x14ac:dyDescent="0.2">
      <c r="A64" t="str">
        <v>Xanthous Crown</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E1280-35F7-45FD-9EAC-C6A4BE87F154}">
  <sheetPr codeName="Sheet6">
    <tabColor rgb="FFFFFF00"/>
  </sheetPr>
  <dimension ref="A1:I185"/>
  <sheetViews>
    <sheetView workbookViewId="0">
      <selection activeCell="C34" sqref="C34"/>
    </sheetView>
  </sheetViews>
  <sheetFormatPr defaultColWidth="15.7109375" defaultRowHeight="12.75" x14ac:dyDescent="0.2"/>
  <cols>
    <col min="1" max="1" width="6.42578125" style="17" bestFit="1" customWidth="1"/>
    <col min="2" max="2" width="23" style="17" bestFit="1" customWidth="1"/>
    <col min="3" max="3" width="10.85546875" style="17" bestFit="1" customWidth="1"/>
    <col min="4" max="4" width="15.7109375" style="17"/>
    <col min="5" max="5" width="11.140625" style="17" bestFit="1" customWidth="1"/>
    <col min="6" max="6" width="11.42578125" style="17" bestFit="1" customWidth="1"/>
    <col min="7" max="7" width="10.7109375" style="17" bestFit="1" customWidth="1"/>
    <col min="8" max="8" width="10.5703125" style="17" bestFit="1" customWidth="1"/>
    <col min="9" max="9" width="15.7109375" style="19"/>
    <col min="10" max="16384" width="15.7109375" style="17"/>
  </cols>
  <sheetData>
    <row r="1" spans="1:9" ht="13.5" x14ac:dyDescent="0.2">
      <c r="A1" s="20" t="s">
        <v>1108</v>
      </c>
      <c r="B1" s="20" t="s">
        <v>239</v>
      </c>
      <c r="C1" s="21" t="s">
        <v>236</v>
      </c>
      <c r="D1" s="22" t="s">
        <v>953</v>
      </c>
      <c r="E1" s="23" t="s">
        <v>1096</v>
      </c>
      <c r="F1" s="23" t="s">
        <v>1097</v>
      </c>
      <c r="G1" s="23" t="s">
        <v>1094</v>
      </c>
      <c r="H1" s="23" t="s">
        <v>1098</v>
      </c>
      <c r="I1" s="24" t="s">
        <v>1109</v>
      </c>
    </row>
    <row r="2" spans="1:9" ht="13.5" x14ac:dyDescent="0.2">
      <c r="A2" s="20">
        <v>1</v>
      </c>
      <c r="B2" s="20" t="s">
        <v>658</v>
      </c>
      <c r="C2" s="21">
        <v>0</v>
      </c>
      <c r="D2" s="22">
        <v>5</v>
      </c>
      <c r="E2" s="23">
        <v>0</v>
      </c>
      <c r="F2" s="23">
        <v>0</v>
      </c>
      <c r="G2" s="23">
        <v>0</v>
      </c>
      <c r="H2" s="23">
        <v>0</v>
      </c>
      <c r="I2" s="25" t="s">
        <v>1044</v>
      </c>
    </row>
    <row r="3" spans="1:9" ht="13.5" x14ac:dyDescent="0.2">
      <c r="A3" s="20">
        <v>2</v>
      </c>
      <c r="B3" s="20" t="s">
        <v>240</v>
      </c>
      <c r="C3" s="21">
        <v>0.5</v>
      </c>
      <c r="D3" s="22">
        <v>5</v>
      </c>
      <c r="E3" s="23">
        <v>5</v>
      </c>
      <c r="F3" s="23">
        <v>8</v>
      </c>
      <c r="G3" s="23">
        <v>0</v>
      </c>
      <c r="H3" s="23">
        <v>0</v>
      </c>
      <c r="I3" s="25" t="s">
        <v>982</v>
      </c>
    </row>
    <row r="4" spans="1:9" ht="13.5" x14ac:dyDescent="0.2">
      <c r="A4" s="20">
        <v>3</v>
      </c>
      <c r="B4" s="20" t="s">
        <v>242</v>
      </c>
      <c r="C4" s="21">
        <v>0.5</v>
      </c>
      <c r="D4" s="22">
        <v>5</v>
      </c>
      <c r="E4" s="23">
        <v>5</v>
      </c>
      <c r="F4" s="23">
        <v>14</v>
      </c>
      <c r="G4" s="23">
        <v>0</v>
      </c>
      <c r="H4" s="23">
        <v>0</v>
      </c>
      <c r="I4" s="25" t="s">
        <v>983</v>
      </c>
    </row>
    <row r="5" spans="1:9" ht="13.5" x14ac:dyDescent="0.2">
      <c r="A5" s="20">
        <v>4</v>
      </c>
      <c r="B5" s="20" t="s">
        <v>482</v>
      </c>
      <c r="C5" s="21">
        <v>0.5</v>
      </c>
      <c r="D5" s="22">
        <v>5</v>
      </c>
      <c r="E5" s="23">
        <v>10</v>
      </c>
      <c r="F5" s="23">
        <v>5</v>
      </c>
      <c r="G5" s="23">
        <v>0</v>
      </c>
      <c r="H5" s="23">
        <v>0</v>
      </c>
      <c r="I5" s="25" t="s">
        <v>984</v>
      </c>
    </row>
    <row r="6" spans="1:9" ht="13.5" x14ac:dyDescent="0.2">
      <c r="A6" s="20">
        <v>5</v>
      </c>
      <c r="B6" s="20" t="s">
        <v>471</v>
      </c>
      <c r="C6" s="21">
        <v>1</v>
      </c>
      <c r="D6" s="22">
        <v>5</v>
      </c>
      <c r="E6" s="23">
        <v>6</v>
      </c>
      <c r="F6" s="23">
        <v>12</v>
      </c>
      <c r="G6" s="23">
        <v>0</v>
      </c>
      <c r="H6" s="23">
        <v>0</v>
      </c>
      <c r="I6" s="25" t="s">
        <v>985</v>
      </c>
    </row>
    <row r="7" spans="1:9" ht="13.5" x14ac:dyDescent="0.2">
      <c r="A7" s="20">
        <v>6</v>
      </c>
      <c r="B7" s="20" t="s">
        <v>483</v>
      </c>
      <c r="C7" s="21">
        <v>1</v>
      </c>
      <c r="D7" s="22">
        <v>5</v>
      </c>
      <c r="E7" s="23">
        <v>6</v>
      </c>
      <c r="F7" s="23">
        <v>20</v>
      </c>
      <c r="G7" s="23">
        <v>0</v>
      </c>
      <c r="H7" s="23">
        <v>0</v>
      </c>
      <c r="I7" s="25" t="s">
        <v>986</v>
      </c>
    </row>
    <row r="8" spans="1:9" ht="13.5" x14ac:dyDescent="0.2">
      <c r="A8" s="20">
        <v>7</v>
      </c>
      <c r="B8" s="20" t="s">
        <v>669</v>
      </c>
      <c r="C8" s="21">
        <v>1</v>
      </c>
      <c r="D8" s="22">
        <v>5</v>
      </c>
      <c r="E8" s="23">
        <v>6</v>
      </c>
      <c r="F8" s="23">
        <v>25</v>
      </c>
      <c r="G8" s="23">
        <v>0</v>
      </c>
      <c r="H8" s="23">
        <v>0</v>
      </c>
      <c r="I8" s="25" t="s">
        <v>987</v>
      </c>
    </row>
    <row r="9" spans="1:9" ht="13.5" x14ac:dyDescent="0.2">
      <c r="A9" s="20">
        <v>8</v>
      </c>
      <c r="B9" s="20" t="s">
        <v>473</v>
      </c>
      <c r="C9" s="21">
        <v>2</v>
      </c>
      <c r="D9" s="22">
        <v>20</v>
      </c>
      <c r="E9" s="23">
        <v>8</v>
      </c>
      <c r="F9" s="23">
        <v>10</v>
      </c>
      <c r="G9" s="23">
        <v>0</v>
      </c>
      <c r="H9" s="23">
        <v>0</v>
      </c>
      <c r="I9" s="25" t="s">
        <v>988</v>
      </c>
    </row>
    <row r="10" spans="1:9" ht="13.5" x14ac:dyDescent="0.2">
      <c r="A10" s="20">
        <v>9</v>
      </c>
      <c r="B10" s="20" t="s">
        <v>466</v>
      </c>
      <c r="C10" s="21">
        <v>3</v>
      </c>
      <c r="D10" s="22">
        <v>20</v>
      </c>
      <c r="E10" s="23">
        <v>10</v>
      </c>
      <c r="F10" s="23">
        <v>10</v>
      </c>
      <c r="G10" s="23">
        <v>0</v>
      </c>
      <c r="H10" s="23">
        <v>0</v>
      </c>
      <c r="I10" s="25" t="s">
        <v>989</v>
      </c>
    </row>
    <row r="11" spans="1:9" ht="13.5" x14ac:dyDescent="0.2">
      <c r="A11" s="20">
        <v>10</v>
      </c>
      <c r="B11" s="20" t="s">
        <v>467</v>
      </c>
      <c r="C11" s="21">
        <v>3</v>
      </c>
      <c r="D11" s="22">
        <v>20</v>
      </c>
      <c r="E11" s="23">
        <v>10</v>
      </c>
      <c r="F11" s="23">
        <v>10</v>
      </c>
      <c r="G11" s="23">
        <v>0</v>
      </c>
      <c r="H11" s="23">
        <v>0</v>
      </c>
      <c r="I11" s="25" t="s">
        <v>989</v>
      </c>
    </row>
    <row r="12" spans="1:9" ht="13.5" x14ac:dyDescent="0.2">
      <c r="A12" s="20">
        <v>11</v>
      </c>
      <c r="B12" s="20" t="s">
        <v>285</v>
      </c>
      <c r="C12" s="21">
        <v>2</v>
      </c>
      <c r="D12" s="22">
        <v>1</v>
      </c>
      <c r="E12" s="23">
        <v>8</v>
      </c>
      <c r="F12" s="23">
        <v>8</v>
      </c>
      <c r="G12" s="23">
        <v>0</v>
      </c>
      <c r="H12" s="23">
        <v>0</v>
      </c>
      <c r="I12" s="25" t="s">
        <v>990</v>
      </c>
    </row>
    <row r="13" spans="1:9" ht="13.5" x14ac:dyDescent="0.2">
      <c r="A13" s="20">
        <v>12</v>
      </c>
      <c r="B13" s="20" t="s">
        <v>529</v>
      </c>
      <c r="C13" s="21">
        <v>3</v>
      </c>
      <c r="D13" s="22">
        <v>20</v>
      </c>
      <c r="E13" s="23">
        <v>10</v>
      </c>
      <c r="F13" s="23">
        <v>14</v>
      </c>
      <c r="G13" s="23">
        <v>0</v>
      </c>
      <c r="H13" s="23">
        <v>0</v>
      </c>
      <c r="I13" s="25" t="s">
        <v>991</v>
      </c>
    </row>
    <row r="14" spans="1:9" ht="13.5" x14ac:dyDescent="0.2">
      <c r="A14" s="20">
        <v>13</v>
      </c>
      <c r="B14" s="20" t="s">
        <v>546</v>
      </c>
      <c r="C14" s="21">
        <v>6</v>
      </c>
      <c r="D14" s="22">
        <v>20</v>
      </c>
      <c r="E14" s="23">
        <v>16</v>
      </c>
      <c r="F14" s="23">
        <v>10</v>
      </c>
      <c r="G14" s="23">
        <v>0</v>
      </c>
      <c r="H14" s="23">
        <v>0</v>
      </c>
      <c r="I14" s="25" t="s">
        <v>992</v>
      </c>
    </row>
    <row r="15" spans="1:9" ht="13.5" x14ac:dyDescent="0.2">
      <c r="A15" s="20">
        <v>14</v>
      </c>
      <c r="B15" s="20" t="s">
        <v>264</v>
      </c>
      <c r="C15" s="21">
        <v>4</v>
      </c>
      <c r="D15" s="22">
        <v>20</v>
      </c>
      <c r="E15" s="23">
        <v>12</v>
      </c>
      <c r="F15" s="23">
        <v>12</v>
      </c>
      <c r="G15" s="23">
        <v>0</v>
      </c>
      <c r="H15" s="23">
        <v>0</v>
      </c>
      <c r="I15" s="25" t="s">
        <v>993</v>
      </c>
    </row>
    <row r="16" spans="1:9" ht="13.5" x14ac:dyDescent="0.2">
      <c r="A16" s="20">
        <v>15</v>
      </c>
      <c r="B16" s="20" t="s">
        <v>275</v>
      </c>
      <c r="C16" s="21">
        <v>3</v>
      </c>
      <c r="D16" s="22">
        <v>20</v>
      </c>
      <c r="E16" s="23">
        <v>10</v>
      </c>
      <c r="F16" s="23">
        <v>10</v>
      </c>
      <c r="G16" s="23">
        <v>0</v>
      </c>
      <c r="H16" s="23">
        <v>0</v>
      </c>
      <c r="I16" s="25" t="s">
        <v>989</v>
      </c>
    </row>
    <row r="17" spans="1:9" ht="13.5" x14ac:dyDescent="0.2">
      <c r="A17" s="20">
        <v>16</v>
      </c>
      <c r="B17" s="20" t="s">
        <v>484</v>
      </c>
      <c r="C17" s="21">
        <v>6</v>
      </c>
      <c r="D17" s="22">
        <v>20</v>
      </c>
      <c r="E17" s="23">
        <v>16</v>
      </c>
      <c r="F17" s="23">
        <v>22</v>
      </c>
      <c r="G17" s="23">
        <v>0</v>
      </c>
      <c r="H17" s="23">
        <v>0</v>
      </c>
      <c r="I17" s="25" t="s">
        <v>994</v>
      </c>
    </row>
    <row r="18" spans="1:9" ht="13.5" x14ac:dyDescent="0.2">
      <c r="A18" s="20">
        <v>17</v>
      </c>
      <c r="B18" s="20" t="s">
        <v>435</v>
      </c>
      <c r="C18" s="21">
        <v>3</v>
      </c>
      <c r="D18" s="22">
        <v>20</v>
      </c>
      <c r="E18" s="23">
        <v>10</v>
      </c>
      <c r="F18" s="23">
        <v>10</v>
      </c>
      <c r="G18" s="23">
        <v>0</v>
      </c>
      <c r="H18" s="23">
        <v>14</v>
      </c>
      <c r="I18" s="25" t="s">
        <v>995</v>
      </c>
    </row>
    <row r="19" spans="1:9" ht="13.5" x14ac:dyDescent="0.2">
      <c r="A19" s="20">
        <v>18</v>
      </c>
      <c r="B19" s="20" t="s">
        <v>249</v>
      </c>
      <c r="C19" s="21">
        <v>6</v>
      </c>
      <c r="D19" s="22">
        <v>20</v>
      </c>
      <c r="E19" s="23">
        <v>16</v>
      </c>
      <c r="F19" s="23">
        <v>16</v>
      </c>
      <c r="G19" s="23">
        <v>0</v>
      </c>
      <c r="H19" s="23">
        <v>0</v>
      </c>
      <c r="I19" s="25" t="s">
        <v>996</v>
      </c>
    </row>
    <row r="20" spans="1:9" ht="13.5" x14ac:dyDescent="0.2">
      <c r="A20" s="20">
        <v>19</v>
      </c>
      <c r="B20" s="20" t="s">
        <v>485</v>
      </c>
      <c r="C20" s="21">
        <v>6</v>
      </c>
      <c r="D20" s="22">
        <v>20</v>
      </c>
      <c r="E20" s="23">
        <v>16</v>
      </c>
      <c r="F20" s="23">
        <v>10</v>
      </c>
      <c r="G20" s="23">
        <v>0</v>
      </c>
      <c r="H20" s="23">
        <v>0</v>
      </c>
      <c r="I20" s="25" t="s">
        <v>992</v>
      </c>
    </row>
    <row r="21" spans="1:9" ht="13.5" x14ac:dyDescent="0.2">
      <c r="A21" s="20">
        <v>20</v>
      </c>
      <c r="B21" s="20" t="s">
        <v>652</v>
      </c>
      <c r="C21" s="21">
        <v>1</v>
      </c>
      <c r="D21" s="22">
        <v>1</v>
      </c>
      <c r="E21" s="23">
        <v>6</v>
      </c>
      <c r="F21" s="23">
        <v>6</v>
      </c>
      <c r="G21" s="23">
        <v>0</v>
      </c>
      <c r="H21" s="23">
        <v>0</v>
      </c>
      <c r="I21" s="25" t="s">
        <v>997</v>
      </c>
    </row>
    <row r="22" spans="1:9" ht="13.5" x14ac:dyDescent="0.2">
      <c r="A22" s="20">
        <v>21</v>
      </c>
      <c r="B22" s="20" t="s">
        <v>653</v>
      </c>
      <c r="C22" s="21">
        <v>6</v>
      </c>
      <c r="D22" s="22">
        <v>35</v>
      </c>
      <c r="E22" s="23">
        <v>16</v>
      </c>
      <c r="F22" s="23">
        <v>10</v>
      </c>
      <c r="G22" s="23">
        <v>0</v>
      </c>
      <c r="H22" s="23">
        <v>0</v>
      </c>
      <c r="I22" s="25" t="s">
        <v>992</v>
      </c>
    </row>
    <row r="23" spans="1:9" ht="13.5" x14ac:dyDescent="0.2">
      <c r="A23" s="20">
        <v>22</v>
      </c>
      <c r="B23" s="20" t="s">
        <v>301</v>
      </c>
      <c r="C23" s="21">
        <v>6</v>
      </c>
      <c r="D23" s="22">
        <v>35</v>
      </c>
      <c r="E23" s="23">
        <v>16</v>
      </c>
      <c r="F23" s="23">
        <v>10</v>
      </c>
      <c r="G23" s="23">
        <v>0</v>
      </c>
      <c r="H23" s="23">
        <v>0</v>
      </c>
      <c r="I23" s="25" t="s">
        <v>992</v>
      </c>
    </row>
    <row r="24" spans="1:9" ht="13.5" x14ac:dyDescent="0.2">
      <c r="A24" s="20">
        <v>23</v>
      </c>
      <c r="B24" s="20" t="s">
        <v>271</v>
      </c>
      <c r="C24" s="21">
        <v>10</v>
      </c>
      <c r="D24" s="22">
        <v>35</v>
      </c>
      <c r="E24" s="23">
        <v>24</v>
      </c>
      <c r="F24" s="23">
        <v>0</v>
      </c>
      <c r="G24" s="23">
        <v>0</v>
      </c>
      <c r="H24" s="23">
        <v>0</v>
      </c>
      <c r="I24" s="25" t="s">
        <v>998</v>
      </c>
    </row>
    <row r="25" spans="1:9" ht="13.5" x14ac:dyDescent="0.2">
      <c r="A25" s="20">
        <v>24</v>
      </c>
      <c r="B25" s="20" t="s">
        <v>544</v>
      </c>
      <c r="C25" s="21">
        <v>6</v>
      </c>
      <c r="D25" s="22">
        <v>35</v>
      </c>
      <c r="E25" s="23">
        <v>16</v>
      </c>
      <c r="F25" s="23">
        <v>14</v>
      </c>
      <c r="G25" s="23">
        <v>0</v>
      </c>
      <c r="H25" s="23">
        <v>0</v>
      </c>
      <c r="I25" s="25" t="s">
        <v>999</v>
      </c>
    </row>
    <row r="26" spans="1:9" ht="13.5" x14ac:dyDescent="0.2">
      <c r="A26" s="20">
        <v>25</v>
      </c>
      <c r="B26" s="20" t="s">
        <v>654</v>
      </c>
      <c r="C26" s="21">
        <v>8</v>
      </c>
      <c r="D26" s="22">
        <v>35</v>
      </c>
      <c r="E26" s="23">
        <v>20</v>
      </c>
      <c r="F26" s="23">
        <v>10</v>
      </c>
      <c r="G26" s="23">
        <v>0</v>
      </c>
      <c r="H26" s="23">
        <v>0</v>
      </c>
      <c r="I26" s="25" t="s">
        <v>1000</v>
      </c>
    </row>
    <row r="27" spans="1:9" ht="13.5" x14ac:dyDescent="0.2">
      <c r="A27" s="20">
        <v>26</v>
      </c>
      <c r="B27" s="20" t="s">
        <v>486</v>
      </c>
      <c r="C27" s="21">
        <v>18</v>
      </c>
      <c r="D27" s="22">
        <v>35</v>
      </c>
      <c r="E27" s="23">
        <v>40</v>
      </c>
      <c r="F27" s="23">
        <v>10</v>
      </c>
      <c r="G27" s="23">
        <v>0</v>
      </c>
      <c r="H27" s="23">
        <v>0</v>
      </c>
      <c r="I27" s="25" t="s">
        <v>1001</v>
      </c>
    </row>
    <row r="28" spans="1:9" ht="13.5" x14ac:dyDescent="0.2">
      <c r="A28" s="20">
        <v>27</v>
      </c>
      <c r="B28" s="20" t="s">
        <v>487</v>
      </c>
      <c r="C28" s="21">
        <v>10</v>
      </c>
      <c r="D28" s="22">
        <v>35</v>
      </c>
      <c r="E28" s="23">
        <v>24</v>
      </c>
      <c r="F28" s="23">
        <v>18</v>
      </c>
      <c r="G28" s="23">
        <v>20</v>
      </c>
      <c r="H28" s="23">
        <v>20</v>
      </c>
      <c r="I28" s="25" t="s">
        <v>954</v>
      </c>
    </row>
    <row r="29" spans="1:9" ht="13.5" x14ac:dyDescent="0.2">
      <c r="A29" s="20">
        <v>28</v>
      </c>
      <c r="B29" s="20" t="s">
        <v>489</v>
      </c>
      <c r="C29" s="21">
        <v>6</v>
      </c>
      <c r="D29" s="22">
        <v>35</v>
      </c>
      <c r="E29" s="23">
        <v>16</v>
      </c>
      <c r="F29" s="23">
        <v>10</v>
      </c>
      <c r="G29" s="23">
        <v>28</v>
      </c>
      <c r="H29" s="23">
        <v>0</v>
      </c>
      <c r="I29" s="25" t="s">
        <v>1002</v>
      </c>
    </row>
    <row r="30" spans="1:9" ht="13.5" x14ac:dyDescent="0.2">
      <c r="A30" s="20">
        <v>29</v>
      </c>
      <c r="B30" s="20" t="s">
        <v>490</v>
      </c>
      <c r="C30" s="21">
        <v>8</v>
      </c>
      <c r="D30" s="22">
        <v>35</v>
      </c>
      <c r="E30" s="23">
        <v>20</v>
      </c>
      <c r="F30" s="23">
        <v>18</v>
      </c>
      <c r="G30" s="23">
        <v>0</v>
      </c>
      <c r="H30" s="23">
        <v>0</v>
      </c>
      <c r="I30" s="25" t="s">
        <v>1003</v>
      </c>
    </row>
    <row r="31" spans="1:9" ht="13.5" x14ac:dyDescent="0.2">
      <c r="A31" s="20">
        <v>30</v>
      </c>
      <c r="B31" s="20" t="s">
        <v>487</v>
      </c>
      <c r="C31" s="21">
        <v>10</v>
      </c>
      <c r="D31" s="22">
        <v>35</v>
      </c>
      <c r="E31" s="23">
        <v>24</v>
      </c>
      <c r="F31" s="23">
        <v>18</v>
      </c>
      <c r="G31" s="23">
        <v>18</v>
      </c>
      <c r="H31" s="23">
        <v>18</v>
      </c>
      <c r="I31" s="25" t="s">
        <v>955</v>
      </c>
    </row>
    <row r="32" spans="1:9" ht="13.5" x14ac:dyDescent="0.2">
      <c r="A32" s="20">
        <v>31</v>
      </c>
      <c r="B32" s="20" t="s">
        <v>488</v>
      </c>
      <c r="C32" s="21">
        <v>8</v>
      </c>
      <c r="D32" s="22">
        <v>35</v>
      </c>
      <c r="E32" s="23">
        <v>20</v>
      </c>
      <c r="F32" s="23">
        <v>10</v>
      </c>
      <c r="G32" s="23">
        <v>0</v>
      </c>
      <c r="H32" s="23">
        <v>0</v>
      </c>
      <c r="I32" s="25" t="s">
        <v>1000</v>
      </c>
    </row>
    <row r="33" spans="1:9" ht="13.5" x14ac:dyDescent="0.2">
      <c r="A33" s="20">
        <v>32</v>
      </c>
      <c r="B33" s="20" t="s">
        <v>670</v>
      </c>
      <c r="C33" s="21">
        <v>9</v>
      </c>
      <c r="D33" s="22">
        <v>35</v>
      </c>
      <c r="E33" s="23">
        <v>22</v>
      </c>
      <c r="F33" s="23">
        <v>18</v>
      </c>
      <c r="G33" s="23">
        <v>18</v>
      </c>
      <c r="H33" s="23">
        <v>18</v>
      </c>
      <c r="I33" s="25" t="s">
        <v>956</v>
      </c>
    </row>
    <row r="34" spans="1:9" ht="13.5" x14ac:dyDescent="0.2">
      <c r="A34" s="20">
        <v>33</v>
      </c>
      <c r="B34" s="20" t="s">
        <v>677</v>
      </c>
      <c r="C34" s="21">
        <v>8</v>
      </c>
      <c r="D34" s="22">
        <v>35</v>
      </c>
      <c r="E34" s="23">
        <v>20</v>
      </c>
      <c r="F34" s="23">
        <v>16</v>
      </c>
      <c r="G34" s="23">
        <v>0</v>
      </c>
      <c r="H34" s="23">
        <v>0</v>
      </c>
      <c r="I34" s="25" t="s">
        <v>1004</v>
      </c>
    </row>
    <row r="35" spans="1:9" ht="13.5" x14ac:dyDescent="0.2">
      <c r="A35" s="20">
        <v>34</v>
      </c>
      <c r="B35" s="20" t="s">
        <v>315</v>
      </c>
      <c r="C35" s="21">
        <v>10</v>
      </c>
      <c r="D35" s="22">
        <v>50</v>
      </c>
      <c r="E35" s="23">
        <v>24</v>
      </c>
      <c r="F35" s="23">
        <v>10</v>
      </c>
      <c r="G35" s="23">
        <v>0</v>
      </c>
      <c r="H35" s="23">
        <v>0</v>
      </c>
      <c r="I35" s="25" t="s">
        <v>1005</v>
      </c>
    </row>
    <row r="36" spans="1:9" ht="13.5" x14ac:dyDescent="0.2">
      <c r="A36" s="20">
        <v>35</v>
      </c>
      <c r="B36" s="20" t="s">
        <v>414</v>
      </c>
      <c r="C36" s="21">
        <v>12</v>
      </c>
      <c r="D36" s="22">
        <v>50</v>
      </c>
      <c r="E36" s="23">
        <v>28</v>
      </c>
      <c r="F36" s="23">
        <v>10</v>
      </c>
      <c r="G36" s="23">
        <v>0</v>
      </c>
      <c r="H36" s="23">
        <v>0</v>
      </c>
      <c r="I36" s="25" t="s">
        <v>1006</v>
      </c>
    </row>
    <row r="37" spans="1:9" ht="13.5" x14ac:dyDescent="0.2">
      <c r="A37" s="20">
        <v>36</v>
      </c>
      <c r="B37" s="20" t="s">
        <v>286</v>
      </c>
      <c r="C37" s="21">
        <v>18</v>
      </c>
      <c r="D37" s="22">
        <v>50</v>
      </c>
      <c r="E37" s="23">
        <v>40</v>
      </c>
      <c r="F37" s="23">
        <v>0</v>
      </c>
      <c r="G37" s="23">
        <v>0</v>
      </c>
      <c r="H37" s="23">
        <v>0</v>
      </c>
      <c r="I37" s="25" t="s">
        <v>1007</v>
      </c>
    </row>
    <row r="38" spans="1:9" ht="13.5" x14ac:dyDescent="0.2">
      <c r="A38" s="20">
        <v>37</v>
      </c>
      <c r="B38" s="20" t="s">
        <v>491</v>
      </c>
      <c r="C38" s="21">
        <v>24</v>
      </c>
      <c r="D38" s="22">
        <v>50</v>
      </c>
      <c r="E38" s="23">
        <v>50</v>
      </c>
      <c r="F38" s="23">
        <v>10</v>
      </c>
      <c r="G38" s="23">
        <v>0</v>
      </c>
      <c r="H38" s="23">
        <v>0</v>
      </c>
      <c r="I38" s="25" t="s">
        <v>1008</v>
      </c>
    </row>
    <row r="39" spans="1:9" ht="13.5" x14ac:dyDescent="0.2">
      <c r="A39" s="20">
        <v>38</v>
      </c>
      <c r="B39" s="20" t="s">
        <v>492</v>
      </c>
      <c r="C39" s="21">
        <v>14</v>
      </c>
      <c r="D39" s="22">
        <v>50</v>
      </c>
      <c r="E39" s="23">
        <v>32</v>
      </c>
      <c r="F39" s="23">
        <v>18</v>
      </c>
      <c r="G39" s="23">
        <v>0</v>
      </c>
      <c r="H39" s="23">
        <v>0</v>
      </c>
      <c r="I39" s="25" t="s">
        <v>1009</v>
      </c>
    </row>
    <row r="40" spans="1:9" ht="13.5" x14ac:dyDescent="0.2">
      <c r="A40" s="20">
        <v>39</v>
      </c>
      <c r="B40" s="20" t="s">
        <v>469</v>
      </c>
      <c r="C40" s="21">
        <v>1.5</v>
      </c>
      <c r="D40" s="22">
        <v>20</v>
      </c>
      <c r="E40" s="23">
        <v>7</v>
      </c>
      <c r="F40" s="23">
        <v>13</v>
      </c>
      <c r="G40" s="23">
        <v>0</v>
      </c>
      <c r="H40" s="23">
        <v>0</v>
      </c>
      <c r="I40" s="25" t="s">
        <v>1010</v>
      </c>
    </row>
    <row r="41" spans="1:9" ht="13.5" x14ac:dyDescent="0.2">
      <c r="A41" s="20">
        <v>40</v>
      </c>
      <c r="B41" s="20" t="s">
        <v>391</v>
      </c>
      <c r="C41" s="21">
        <v>2.5</v>
      </c>
      <c r="D41" s="22">
        <v>20</v>
      </c>
      <c r="E41" s="23">
        <v>9</v>
      </c>
      <c r="F41" s="23">
        <v>13</v>
      </c>
      <c r="G41" s="23">
        <v>0</v>
      </c>
      <c r="H41" s="23">
        <v>0</v>
      </c>
      <c r="I41" s="25" t="s">
        <v>1011</v>
      </c>
    </row>
    <row r="42" spans="1:9" ht="13.5" x14ac:dyDescent="0.2">
      <c r="A42" s="20">
        <v>41</v>
      </c>
      <c r="B42" s="20" t="s">
        <v>406</v>
      </c>
      <c r="C42" s="21">
        <v>2.5</v>
      </c>
      <c r="D42" s="22">
        <v>20</v>
      </c>
      <c r="E42" s="23">
        <v>9</v>
      </c>
      <c r="F42" s="23">
        <v>14</v>
      </c>
      <c r="G42" s="23">
        <v>0</v>
      </c>
      <c r="H42" s="23">
        <v>0</v>
      </c>
      <c r="I42" s="25" t="s">
        <v>1012</v>
      </c>
    </row>
    <row r="43" spans="1:9" ht="13.5" x14ac:dyDescent="0.2">
      <c r="A43" s="20">
        <v>42</v>
      </c>
      <c r="B43" s="20" t="s">
        <v>493</v>
      </c>
      <c r="C43" s="21">
        <v>1.5</v>
      </c>
      <c r="D43" s="22">
        <v>20</v>
      </c>
      <c r="E43" s="23">
        <v>7</v>
      </c>
      <c r="F43" s="23">
        <v>0</v>
      </c>
      <c r="G43" s="23">
        <v>0</v>
      </c>
      <c r="H43" s="23">
        <v>0</v>
      </c>
      <c r="I43" s="25" t="s">
        <v>1013</v>
      </c>
    </row>
    <row r="44" spans="1:9" ht="13.5" x14ac:dyDescent="0.2">
      <c r="A44" s="20">
        <v>43</v>
      </c>
      <c r="B44" s="20" t="s">
        <v>517</v>
      </c>
      <c r="C44" s="21">
        <v>1.5</v>
      </c>
      <c r="D44" s="22">
        <v>20</v>
      </c>
      <c r="E44" s="23">
        <v>7</v>
      </c>
      <c r="F44" s="23">
        <v>20</v>
      </c>
      <c r="G44" s="23">
        <v>0</v>
      </c>
      <c r="H44" s="23">
        <v>0</v>
      </c>
      <c r="I44" s="25" t="s">
        <v>1014</v>
      </c>
    </row>
    <row r="45" spans="1:9" ht="13.5" x14ac:dyDescent="0.2">
      <c r="A45" s="20">
        <v>44</v>
      </c>
      <c r="B45" s="20" t="s">
        <v>494</v>
      </c>
      <c r="C45" s="21">
        <v>3.5</v>
      </c>
      <c r="D45" s="22">
        <v>20</v>
      </c>
      <c r="E45" s="23">
        <v>11</v>
      </c>
      <c r="F45" s="23">
        <v>13</v>
      </c>
      <c r="G45" s="23">
        <v>0</v>
      </c>
      <c r="H45" s="23">
        <v>0</v>
      </c>
      <c r="I45" s="25" t="s">
        <v>1015</v>
      </c>
    </row>
    <row r="46" spans="1:9" ht="13.5" x14ac:dyDescent="0.2">
      <c r="A46" s="20">
        <v>45</v>
      </c>
      <c r="B46" s="20" t="s">
        <v>668</v>
      </c>
      <c r="C46" s="21">
        <v>2</v>
      </c>
      <c r="D46" s="22">
        <v>20</v>
      </c>
      <c r="E46" s="23">
        <v>9</v>
      </c>
      <c r="F46" s="23">
        <v>25</v>
      </c>
      <c r="G46" s="23">
        <v>0</v>
      </c>
      <c r="H46" s="23">
        <v>0</v>
      </c>
      <c r="I46" s="25" t="s">
        <v>1016</v>
      </c>
    </row>
    <row r="47" spans="1:9" ht="13.5" x14ac:dyDescent="0.2">
      <c r="A47" s="20">
        <v>46</v>
      </c>
      <c r="B47" s="20" t="s">
        <v>393</v>
      </c>
      <c r="C47" s="21">
        <v>10</v>
      </c>
      <c r="D47" s="22">
        <v>35</v>
      </c>
      <c r="E47" s="23">
        <v>24</v>
      </c>
      <c r="F47" s="23">
        <v>13</v>
      </c>
      <c r="G47" s="23">
        <v>0</v>
      </c>
      <c r="H47" s="23">
        <v>0</v>
      </c>
      <c r="I47" s="25" t="s">
        <v>1017</v>
      </c>
    </row>
    <row r="48" spans="1:9" ht="13.5" x14ac:dyDescent="0.2">
      <c r="A48" s="20">
        <v>47</v>
      </c>
      <c r="B48" s="20" t="s">
        <v>268</v>
      </c>
      <c r="C48" s="21">
        <v>12</v>
      </c>
      <c r="D48" s="22">
        <v>35</v>
      </c>
      <c r="E48" s="23">
        <v>28</v>
      </c>
      <c r="F48" s="23">
        <v>13</v>
      </c>
      <c r="G48" s="23">
        <v>0</v>
      </c>
      <c r="H48" s="23">
        <v>0</v>
      </c>
      <c r="I48" s="25" t="s">
        <v>1018</v>
      </c>
    </row>
    <row r="49" spans="1:9" ht="13.5" x14ac:dyDescent="0.2">
      <c r="A49" s="20">
        <v>48</v>
      </c>
      <c r="B49" s="20" t="s">
        <v>246</v>
      </c>
      <c r="C49" s="21">
        <v>10</v>
      </c>
      <c r="D49" s="22">
        <v>35</v>
      </c>
      <c r="E49" s="23">
        <v>24</v>
      </c>
      <c r="F49" s="23">
        <v>13</v>
      </c>
      <c r="G49" s="23">
        <v>0</v>
      </c>
      <c r="H49" s="23">
        <v>0</v>
      </c>
      <c r="I49" s="25" t="s">
        <v>1017</v>
      </c>
    </row>
    <row r="50" spans="1:9" ht="13.5" x14ac:dyDescent="0.2">
      <c r="A50" s="20">
        <v>49</v>
      </c>
      <c r="B50" s="20" t="s">
        <v>518</v>
      </c>
      <c r="C50" s="21">
        <v>5</v>
      </c>
      <c r="D50" s="22">
        <v>20</v>
      </c>
      <c r="E50" s="23">
        <v>14</v>
      </c>
      <c r="F50" s="23">
        <v>14</v>
      </c>
      <c r="G50" s="23">
        <v>0</v>
      </c>
      <c r="H50" s="23">
        <v>0</v>
      </c>
      <c r="I50" s="25" t="s">
        <v>1019</v>
      </c>
    </row>
    <row r="51" spans="1:9" ht="13.5" x14ac:dyDescent="0.2">
      <c r="A51" s="20">
        <v>50</v>
      </c>
      <c r="B51" s="20" t="s">
        <v>655</v>
      </c>
      <c r="C51" s="21">
        <v>8</v>
      </c>
      <c r="D51" s="22">
        <v>20</v>
      </c>
      <c r="E51" s="23">
        <v>20</v>
      </c>
      <c r="F51" s="23">
        <v>16</v>
      </c>
      <c r="G51" s="23">
        <v>0</v>
      </c>
      <c r="H51" s="23">
        <v>0</v>
      </c>
      <c r="I51" s="25" t="s">
        <v>1004</v>
      </c>
    </row>
    <row r="52" spans="1:9" ht="13.5" x14ac:dyDescent="0.2">
      <c r="A52" s="20">
        <v>51</v>
      </c>
      <c r="B52" s="20" t="s">
        <v>392</v>
      </c>
      <c r="C52" s="21">
        <v>5</v>
      </c>
      <c r="D52" s="22">
        <v>20</v>
      </c>
      <c r="E52" s="23">
        <v>14</v>
      </c>
      <c r="F52" s="23">
        <v>20</v>
      </c>
      <c r="G52" s="23">
        <v>0</v>
      </c>
      <c r="H52" s="23">
        <v>0</v>
      </c>
      <c r="I52" s="25" t="s">
        <v>1020</v>
      </c>
    </row>
    <row r="53" spans="1:9" ht="13.5" x14ac:dyDescent="0.2">
      <c r="A53" s="20">
        <v>52</v>
      </c>
      <c r="B53" s="20" t="s">
        <v>259</v>
      </c>
      <c r="C53" s="21">
        <v>6</v>
      </c>
      <c r="D53" s="22">
        <v>20</v>
      </c>
      <c r="E53" s="23">
        <v>16</v>
      </c>
      <c r="F53" s="23">
        <v>14</v>
      </c>
      <c r="G53" s="23">
        <v>0</v>
      </c>
      <c r="H53" s="23">
        <v>0</v>
      </c>
      <c r="I53" s="25" t="s">
        <v>999</v>
      </c>
    </row>
    <row r="54" spans="1:9" ht="13.5" x14ac:dyDescent="0.2">
      <c r="A54" s="20">
        <v>53</v>
      </c>
      <c r="B54" s="20" t="s">
        <v>298</v>
      </c>
      <c r="C54" s="21">
        <v>0.5</v>
      </c>
      <c r="D54" s="22">
        <v>5</v>
      </c>
      <c r="E54" s="23">
        <v>5</v>
      </c>
      <c r="F54" s="23">
        <v>12</v>
      </c>
      <c r="G54" s="23">
        <v>0</v>
      </c>
      <c r="H54" s="23">
        <v>0</v>
      </c>
      <c r="I54" s="25" t="s">
        <v>1021</v>
      </c>
    </row>
    <row r="55" spans="1:9" ht="13.5" x14ac:dyDescent="0.2">
      <c r="A55" s="20">
        <v>54</v>
      </c>
      <c r="B55" s="20" t="s">
        <v>535</v>
      </c>
      <c r="C55" s="21">
        <v>1.5</v>
      </c>
      <c r="D55" s="22">
        <v>5</v>
      </c>
      <c r="E55" s="23">
        <v>7</v>
      </c>
      <c r="F55" s="23">
        <v>12</v>
      </c>
      <c r="G55" s="23">
        <v>0</v>
      </c>
      <c r="H55" s="23">
        <v>0</v>
      </c>
      <c r="I55" s="25" t="s">
        <v>1022</v>
      </c>
    </row>
    <row r="56" spans="1:9" ht="13.5" x14ac:dyDescent="0.2">
      <c r="A56" s="20">
        <v>55</v>
      </c>
      <c r="B56" s="20" t="s">
        <v>433</v>
      </c>
      <c r="C56" s="21">
        <v>3</v>
      </c>
      <c r="D56" s="22">
        <v>5</v>
      </c>
      <c r="E56" s="23">
        <v>10</v>
      </c>
      <c r="F56" s="23">
        <v>12</v>
      </c>
      <c r="G56" s="23">
        <v>0</v>
      </c>
      <c r="H56" s="23">
        <v>0</v>
      </c>
      <c r="I56" s="25" t="s">
        <v>1023</v>
      </c>
    </row>
    <row r="57" spans="1:9" ht="13.5" x14ac:dyDescent="0.2">
      <c r="A57" s="20">
        <v>56</v>
      </c>
      <c r="B57" s="20" t="s">
        <v>328</v>
      </c>
      <c r="C57" s="21">
        <v>2</v>
      </c>
      <c r="D57" s="22">
        <v>5</v>
      </c>
      <c r="E57" s="23">
        <v>8</v>
      </c>
      <c r="F57" s="23">
        <v>16</v>
      </c>
      <c r="G57" s="23">
        <v>16</v>
      </c>
      <c r="H57" s="23">
        <v>0</v>
      </c>
      <c r="I57" s="25" t="s">
        <v>1024</v>
      </c>
    </row>
    <row r="58" spans="1:9" ht="13.5" x14ac:dyDescent="0.2">
      <c r="A58" s="20">
        <v>57</v>
      </c>
      <c r="B58" s="20" t="s">
        <v>278</v>
      </c>
      <c r="C58" s="21">
        <v>2</v>
      </c>
      <c r="D58" s="22">
        <v>5</v>
      </c>
      <c r="E58" s="23">
        <v>8</v>
      </c>
      <c r="F58" s="23">
        <v>20</v>
      </c>
      <c r="G58" s="23">
        <v>0</v>
      </c>
      <c r="H58" s="23">
        <v>0</v>
      </c>
      <c r="I58" s="25" t="s">
        <v>1025</v>
      </c>
    </row>
    <row r="59" spans="1:9" ht="13.5" x14ac:dyDescent="0.2">
      <c r="A59" s="20">
        <v>58</v>
      </c>
      <c r="B59" s="20" t="s">
        <v>477</v>
      </c>
      <c r="C59" s="21">
        <v>2</v>
      </c>
      <c r="D59" s="22">
        <v>20</v>
      </c>
      <c r="E59" s="23">
        <v>8</v>
      </c>
      <c r="F59" s="23">
        <v>8</v>
      </c>
      <c r="G59" s="23">
        <v>0</v>
      </c>
      <c r="H59" s="23">
        <v>0</v>
      </c>
      <c r="I59" s="25" t="s">
        <v>990</v>
      </c>
    </row>
    <row r="60" spans="1:9" ht="13.5" x14ac:dyDescent="0.2">
      <c r="A60" s="20">
        <v>59</v>
      </c>
      <c r="B60" s="20" t="s">
        <v>472</v>
      </c>
      <c r="C60" s="21">
        <v>4</v>
      </c>
      <c r="D60" s="22">
        <v>35</v>
      </c>
      <c r="E60" s="23">
        <v>12</v>
      </c>
      <c r="F60" s="23">
        <v>8</v>
      </c>
      <c r="G60" s="23">
        <v>0</v>
      </c>
      <c r="H60" s="23">
        <v>0</v>
      </c>
      <c r="I60" s="25" t="s">
        <v>1026</v>
      </c>
    </row>
    <row r="61" spans="1:9" ht="13.5" x14ac:dyDescent="0.2">
      <c r="A61" s="20">
        <v>60</v>
      </c>
      <c r="B61" s="20" t="s">
        <v>270</v>
      </c>
      <c r="C61" s="21">
        <v>7</v>
      </c>
      <c r="D61" s="22">
        <v>35</v>
      </c>
      <c r="E61" s="23">
        <v>18</v>
      </c>
      <c r="F61" s="23">
        <v>12</v>
      </c>
      <c r="G61" s="23">
        <v>0</v>
      </c>
      <c r="H61" s="23">
        <v>16</v>
      </c>
      <c r="I61" s="25" t="s">
        <v>1027</v>
      </c>
    </row>
    <row r="62" spans="1:9" ht="13.5" x14ac:dyDescent="0.2">
      <c r="A62" s="20">
        <v>61</v>
      </c>
      <c r="B62" s="20" t="s">
        <v>272</v>
      </c>
      <c r="C62" s="21">
        <v>10</v>
      </c>
      <c r="D62" s="22">
        <v>35</v>
      </c>
      <c r="E62" s="23">
        <v>24</v>
      </c>
      <c r="F62" s="23">
        <v>0</v>
      </c>
      <c r="G62" s="23">
        <v>0</v>
      </c>
      <c r="H62" s="23">
        <v>0</v>
      </c>
      <c r="I62" s="25" t="s">
        <v>998</v>
      </c>
    </row>
    <row r="63" spans="1:9" ht="13.5" x14ac:dyDescent="0.2">
      <c r="A63" s="20">
        <v>62</v>
      </c>
      <c r="B63" s="20" t="s">
        <v>495</v>
      </c>
      <c r="C63" s="21">
        <v>16</v>
      </c>
      <c r="D63" s="22">
        <v>35</v>
      </c>
      <c r="E63" s="23">
        <v>36</v>
      </c>
      <c r="F63" s="23">
        <v>8</v>
      </c>
      <c r="G63" s="23">
        <v>0</v>
      </c>
      <c r="H63" s="23">
        <v>0</v>
      </c>
      <c r="I63" s="25" t="s">
        <v>1028</v>
      </c>
    </row>
    <row r="64" spans="1:9" ht="13.5" x14ac:dyDescent="0.2">
      <c r="A64" s="20">
        <v>63</v>
      </c>
      <c r="B64" s="20" t="s">
        <v>569</v>
      </c>
      <c r="C64" s="21">
        <v>5</v>
      </c>
      <c r="D64" s="22">
        <v>35</v>
      </c>
      <c r="E64" s="23">
        <v>14</v>
      </c>
      <c r="F64" s="23">
        <v>14</v>
      </c>
      <c r="G64" s="23">
        <v>0</v>
      </c>
      <c r="H64" s="23">
        <v>0</v>
      </c>
      <c r="I64" s="25" t="s">
        <v>1019</v>
      </c>
    </row>
    <row r="65" spans="1:9" ht="13.5" x14ac:dyDescent="0.2">
      <c r="A65" s="20">
        <v>64</v>
      </c>
      <c r="B65" s="20" t="s">
        <v>291</v>
      </c>
      <c r="C65" s="21">
        <v>14</v>
      </c>
      <c r="D65" s="22">
        <v>50</v>
      </c>
      <c r="E65" s="23">
        <v>32</v>
      </c>
      <c r="F65" s="23">
        <v>8</v>
      </c>
      <c r="G65" s="23">
        <v>0</v>
      </c>
      <c r="H65" s="23">
        <v>0</v>
      </c>
      <c r="I65" s="25" t="s">
        <v>1029</v>
      </c>
    </row>
    <row r="66" spans="1:9" ht="13.5" x14ac:dyDescent="0.2">
      <c r="A66" s="20">
        <v>65</v>
      </c>
      <c r="B66" s="20" t="s">
        <v>514</v>
      </c>
      <c r="C66" s="21">
        <v>22</v>
      </c>
      <c r="D66" s="22">
        <v>50</v>
      </c>
      <c r="E66" s="23">
        <v>46</v>
      </c>
      <c r="F66" s="23">
        <v>0</v>
      </c>
      <c r="G66" s="23">
        <v>0</v>
      </c>
      <c r="H66" s="23">
        <v>0</v>
      </c>
      <c r="I66" s="25" t="s">
        <v>1030</v>
      </c>
    </row>
    <row r="67" spans="1:9" ht="13.5" x14ac:dyDescent="0.2">
      <c r="A67" s="20">
        <v>66</v>
      </c>
      <c r="B67" s="20" t="s">
        <v>496</v>
      </c>
      <c r="C67" s="21">
        <v>24</v>
      </c>
      <c r="D67" s="22">
        <v>50</v>
      </c>
      <c r="E67" s="23">
        <v>50</v>
      </c>
      <c r="F67" s="23">
        <v>8</v>
      </c>
      <c r="G67" s="23">
        <v>0</v>
      </c>
      <c r="H67" s="23">
        <v>0</v>
      </c>
      <c r="I67" s="25" t="s">
        <v>1031</v>
      </c>
    </row>
    <row r="68" spans="1:9" ht="13.5" x14ac:dyDescent="0.2">
      <c r="A68" s="20">
        <v>67</v>
      </c>
      <c r="B68" s="20" t="s">
        <v>497</v>
      </c>
      <c r="C68" s="21">
        <v>16</v>
      </c>
      <c r="D68" s="22">
        <v>50</v>
      </c>
      <c r="E68" s="23">
        <v>36</v>
      </c>
      <c r="F68" s="23">
        <v>18</v>
      </c>
      <c r="G68" s="23">
        <v>0</v>
      </c>
      <c r="H68" s="23">
        <v>0</v>
      </c>
      <c r="I68" s="25" t="s">
        <v>1032</v>
      </c>
    </row>
    <row r="69" spans="1:9" ht="13.5" x14ac:dyDescent="0.2">
      <c r="A69" s="20">
        <v>68</v>
      </c>
      <c r="B69" s="20" t="s">
        <v>672</v>
      </c>
      <c r="C69" s="21">
        <v>24</v>
      </c>
      <c r="D69" s="22">
        <v>50</v>
      </c>
      <c r="E69" s="23">
        <v>48</v>
      </c>
      <c r="F69" s="23">
        <v>10</v>
      </c>
      <c r="G69" s="23">
        <v>0</v>
      </c>
      <c r="H69" s="23">
        <v>0</v>
      </c>
      <c r="I69" s="25" t="s">
        <v>1033</v>
      </c>
    </row>
    <row r="70" spans="1:9" ht="13.5" x14ac:dyDescent="0.2">
      <c r="A70" s="20">
        <v>69</v>
      </c>
      <c r="B70" s="20" t="s">
        <v>481</v>
      </c>
      <c r="C70" s="21">
        <v>3</v>
      </c>
      <c r="D70" s="22">
        <v>20</v>
      </c>
      <c r="E70" s="23">
        <v>10</v>
      </c>
      <c r="F70" s="23">
        <v>0</v>
      </c>
      <c r="G70" s="23">
        <v>0</v>
      </c>
      <c r="H70" s="23">
        <v>0</v>
      </c>
      <c r="I70" s="25" t="s">
        <v>1034</v>
      </c>
    </row>
    <row r="71" spans="1:9" ht="13.5" x14ac:dyDescent="0.2">
      <c r="A71" s="20">
        <v>70</v>
      </c>
      <c r="B71" s="20" t="s">
        <v>363</v>
      </c>
      <c r="C71" s="21">
        <v>4</v>
      </c>
      <c r="D71" s="22">
        <v>35</v>
      </c>
      <c r="E71" s="23">
        <v>12</v>
      </c>
      <c r="F71" s="23">
        <v>0</v>
      </c>
      <c r="G71" s="23">
        <v>0</v>
      </c>
      <c r="H71" s="23">
        <v>0</v>
      </c>
      <c r="I71" s="25" t="s">
        <v>1035</v>
      </c>
    </row>
    <row r="72" spans="1:9" ht="13.5" x14ac:dyDescent="0.2">
      <c r="A72" s="20">
        <v>71</v>
      </c>
      <c r="B72" s="20" t="s">
        <v>317</v>
      </c>
      <c r="C72" s="21">
        <v>4</v>
      </c>
      <c r="D72" s="22">
        <v>35</v>
      </c>
      <c r="E72" s="23">
        <v>11</v>
      </c>
      <c r="F72" s="23">
        <v>0</v>
      </c>
      <c r="G72" s="23">
        <v>0</v>
      </c>
      <c r="H72" s="23">
        <v>0</v>
      </c>
      <c r="I72" s="25" t="s">
        <v>1036</v>
      </c>
    </row>
    <row r="73" spans="1:9" ht="13.5" x14ac:dyDescent="0.2">
      <c r="A73" s="20">
        <v>72</v>
      </c>
      <c r="B73" s="20" t="s">
        <v>656</v>
      </c>
      <c r="C73" s="21">
        <v>3.5</v>
      </c>
      <c r="D73" s="22">
        <v>20</v>
      </c>
      <c r="E73" s="23">
        <v>11</v>
      </c>
      <c r="F73" s="23">
        <v>10</v>
      </c>
      <c r="G73" s="23">
        <v>0</v>
      </c>
      <c r="H73" s="23">
        <v>0</v>
      </c>
      <c r="I73" s="25" t="s">
        <v>1037</v>
      </c>
    </row>
    <row r="74" spans="1:9" ht="13.5" x14ac:dyDescent="0.2">
      <c r="A74" s="20">
        <v>73</v>
      </c>
      <c r="B74" s="20" t="s">
        <v>549</v>
      </c>
      <c r="C74" s="21">
        <v>5</v>
      </c>
      <c r="D74" s="22">
        <v>20</v>
      </c>
      <c r="E74" s="23">
        <v>14</v>
      </c>
      <c r="F74" s="23">
        <v>0</v>
      </c>
      <c r="G74" s="23">
        <v>0</v>
      </c>
      <c r="H74" s="23">
        <v>0</v>
      </c>
      <c r="I74" s="25" t="s">
        <v>1038</v>
      </c>
    </row>
    <row r="75" spans="1:9" ht="13.5" x14ac:dyDescent="0.2">
      <c r="A75" s="20">
        <v>74</v>
      </c>
      <c r="B75" s="20" t="s">
        <v>657</v>
      </c>
      <c r="C75" s="21">
        <v>4</v>
      </c>
      <c r="D75" s="22">
        <v>35</v>
      </c>
      <c r="E75" s="23">
        <v>12</v>
      </c>
      <c r="F75" s="23">
        <v>0</v>
      </c>
      <c r="G75" s="23">
        <v>0</v>
      </c>
      <c r="H75" s="23">
        <v>0</v>
      </c>
      <c r="I75" s="25" t="s">
        <v>1035</v>
      </c>
    </row>
    <row r="76" spans="1:9" ht="13.5" x14ac:dyDescent="0.2">
      <c r="A76" s="20">
        <v>75</v>
      </c>
      <c r="B76" s="20" t="s">
        <v>542</v>
      </c>
      <c r="C76" s="21">
        <v>5</v>
      </c>
      <c r="D76" s="22">
        <v>35</v>
      </c>
      <c r="E76" s="23">
        <v>14</v>
      </c>
      <c r="F76" s="23">
        <v>0</v>
      </c>
      <c r="G76" s="23">
        <v>0</v>
      </c>
      <c r="H76" s="23">
        <v>0</v>
      </c>
      <c r="I76" s="25" t="s">
        <v>1038</v>
      </c>
    </row>
    <row r="77" spans="1:9" ht="13.5" x14ac:dyDescent="0.2">
      <c r="A77" s="20">
        <v>76</v>
      </c>
      <c r="B77" s="20" t="s">
        <v>550</v>
      </c>
      <c r="C77" s="21">
        <v>6</v>
      </c>
      <c r="D77" s="22">
        <v>35</v>
      </c>
      <c r="E77" s="23">
        <v>16</v>
      </c>
      <c r="F77" s="23">
        <v>0</v>
      </c>
      <c r="G77" s="23">
        <v>0</v>
      </c>
      <c r="H77" s="23">
        <v>0</v>
      </c>
      <c r="I77" s="25" t="s">
        <v>1039</v>
      </c>
    </row>
    <row r="78" spans="1:9" ht="13.5" x14ac:dyDescent="0.2">
      <c r="A78" s="20">
        <v>77</v>
      </c>
      <c r="B78" s="20" t="s">
        <v>554</v>
      </c>
      <c r="C78" s="21">
        <v>5</v>
      </c>
      <c r="D78" s="22">
        <v>35</v>
      </c>
      <c r="E78" s="23">
        <v>14</v>
      </c>
      <c r="F78" s="23">
        <v>0</v>
      </c>
      <c r="G78" s="23">
        <v>0</v>
      </c>
      <c r="H78" s="23">
        <v>0</v>
      </c>
      <c r="I78" s="25" t="s">
        <v>1038</v>
      </c>
    </row>
    <row r="79" spans="1:9" ht="13.5" x14ac:dyDescent="0.2">
      <c r="A79" s="20">
        <v>78</v>
      </c>
      <c r="B79" s="20" t="s">
        <v>382</v>
      </c>
      <c r="C79" s="21">
        <v>12</v>
      </c>
      <c r="D79" s="22">
        <v>50</v>
      </c>
      <c r="E79" s="23">
        <v>28</v>
      </c>
      <c r="F79" s="23">
        <v>0</v>
      </c>
      <c r="G79" s="23">
        <v>0</v>
      </c>
      <c r="H79" s="23">
        <v>0</v>
      </c>
      <c r="I79" s="25" t="s">
        <v>1040</v>
      </c>
    </row>
    <row r="80" spans="1:9" ht="13.5" x14ac:dyDescent="0.2">
      <c r="A80" s="20">
        <v>79</v>
      </c>
      <c r="B80" s="20" t="s">
        <v>273</v>
      </c>
      <c r="C80" s="21">
        <v>24</v>
      </c>
      <c r="D80" s="22">
        <v>50</v>
      </c>
      <c r="E80" s="23">
        <v>50</v>
      </c>
      <c r="F80" s="23">
        <v>0</v>
      </c>
      <c r="G80" s="23">
        <v>0</v>
      </c>
      <c r="H80" s="23">
        <v>30</v>
      </c>
      <c r="I80" s="25" t="s">
        <v>1041</v>
      </c>
    </row>
    <row r="81" spans="1:9" ht="13.5" x14ac:dyDescent="0.2">
      <c r="A81" s="20">
        <v>80</v>
      </c>
      <c r="B81" s="20" t="s">
        <v>258</v>
      </c>
      <c r="C81" s="21">
        <v>22</v>
      </c>
      <c r="D81" s="22">
        <v>50</v>
      </c>
      <c r="E81" s="23">
        <v>46</v>
      </c>
      <c r="F81" s="23">
        <v>0</v>
      </c>
      <c r="G81" s="23">
        <v>0</v>
      </c>
      <c r="H81" s="23">
        <v>0</v>
      </c>
      <c r="I81" s="25" t="s">
        <v>1030</v>
      </c>
    </row>
    <row r="82" spans="1:9" ht="13.5" x14ac:dyDescent="0.2">
      <c r="A82" s="20">
        <v>81</v>
      </c>
      <c r="B82" s="20" t="s">
        <v>424</v>
      </c>
      <c r="C82" s="21">
        <v>18</v>
      </c>
      <c r="D82" s="22">
        <v>50</v>
      </c>
      <c r="E82" s="23">
        <v>40</v>
      </c>
      <c r="F82" s="23">
        <v>0</v>
      </c>
      <c r="G82" s="23">
        <v>0</v>
      </c>
      <c r="H82" s="23">
        <v>0</v>
      </c>
      <c r="I82" s="25" t="s">
        <v>1007</v>
      </c>
    </row>
    <row r="83" spans="1:9" ht="13.5" x14ac:dyDescent="0.2">
      <c r="A83" s="20">
        <v>82</v>
      </c>
      <c r="B83" s="20" t="s">
        <v>548</v>
      </c>
      <c r="C83" s="21">
        <v>11</v>
      </c>
      <c r="D83" s="22">
        <v>50</v>
      </c>
      <c r="E83" s="23">
        <v>26</v>
      </c>
      <c r="F83" s="23">
        <v>0</v>
      </c>
      <c r="G83" s="23">
        <v>0</v>
      </c>
      <c r="H83" s="23">
        <v>0</v>
      </c>
      <c r="I83" s="25" t="s">
        <v>1042</v>
      </c>
    </row>
    <row r="84" spans="1:9" ht="13.5" x14ac:dyDescent="0.2">
      <c r="A84" s="20">
        <v>83</v>
      </c>
      <c r="B84" s="20" t="s">
        <v>287</v>
      </c>
      <c r="C84" s="21">
        <v>28</v>
      </c>
      <c r="D84" s="22">
        <v>50</v>
      </c>
      <c r="E84" s="23">
        <v>58</v>
      </c>
      <c r="F84" s="23">
        <v>0</v>
      </c>
      <c r="G84" s="23">
        <v>0</v>
      </c>
      <c r="H84" s="23">
        <v>0</v>
      </c>
      <c r="I84" s="25" t="s">
        <v>1043</v>
      </c>
    </row>
    <row r="85" spans="1:9" ht="13.5" x14ac:dyDescent="0.2">
      <c r="A85" s="20">
        <v>84</v>
      </c>
      <c r="B85" s="20" t="s">
        <v>659</v>
      </c>
      <c r="C85" s="21">
        <v>0.5</v>
      </c>
      <c r="D85" s="22">
        <v>20</v>
      </c>
      <c r="E85" s="23">
        <v>5</v>
      </c>
      <c r="F85" s="23">
        <v>8</v>
      </c>
      <c r="G85" s="23">
        <v>0</v>
      </c>
      <c r="H85" s="23">
        <v>0</v>
      </c>
      <c r="I85" s="25" t="s">
        <v>982</v>
      </c>
    </row>
    <row r="86" spans="1:9" ht="13.5" x14ac:dyDescent="0.2">
      <c r="A86" s="20">
        <v>85</v>
      </c>
      <c r="B86" s="20" t="s">
        <v>660</v>
      </c>
      <c r="C86" s="21">
        <v>1</v>
      </c>
      <c r="D86" s="22">
        <v>20</v>
      </c>
      <c r="E86" s="23">
        <v>6</v>
      </c>
      <c r="F86" s="23">
        <v>14</v>
      </c>
      <c r="G86" s="23">
        <v>0</v>
      </c>
      <c r="H86" s="23">
        <v>0</v>
      </c>
      <c r="I86" s="25" t="s">
        <v>1045</v>
      </c>
    </row>
    <row r="87" spans="1:9" ht="13.5" x14ac:dyDescent="0.2">
      <c r="A87" s="20">
        <v>86</v>
      </c>
      <c r="B87" s="20" t="s">
        <v>498</v>
      </c>
      <c r="C87" s="21">
        <v>8</v>
      </c>
      <c r="D87" s="22">
        <v>20</v>
      </c>
      <c r="E87" s="23">
        <v>20</v>
      </c>
      <c r="F87" s="23">
        <v>0</v>
      </c>
      <c r="G87" s="23">
        <v>0</v>
      </c>
      <c r="H87" s="23">
        <v>0</v>
      </c>
      <c r="I87" s="25" t="s">
        <v>1046</v>
      </c>
    </row>
    <row r="88" spans="1:9" ht="13.5" x14ac:dyDescent="0.2">
      <c r="A88" s="20">
        <v>87</v>
      </c>
      <c r="B88" s="20" t="s">
        <v>248</v>
      </c>
      <c r="C88" s="21">
        <v>0.5</v>
      </c>
      <c r="D88" s="22">
        <v>20</v>
      </c>
      <c r="E88" s="23">
        <v>0</v>
      </c>
      <c r="F88" s="23">
        <v>0</v>
      </c>
      <c r="G88" s="23">
        <v>0</v>
      </c>
      <c r="H88" s="23">
        <v>0</v>
      </c>
      <c r="I88" s="25" t="s">
        <v>1044</v>
      </c>
    </row>
    <row r="89" spans="1:9" ht="13.5" x14ac:dyDescent="0.2">
      <c r="A89" s="20">
        <v>88</v>
      </c>
      <c r="B89" s="20" t="s">
        <v>512</v>
      </c>
      <c r="C89" s="21">
        <v>3.5</v>
      </c>
      <c r="D89" s="22">
        <v>20</v>
      </c>
      <c r="E89" s="23">
        <v>11</v>
      </c>
      <c r="F89" s="23">
        <v>10</v>
      </c>
      <c r="G89" s="23">
        <v>0</v>
      </c>
      <c r="H89" s="23">
        <v>0</v>
      </c>
      <c r="I89" s="25" t="s">
        <v>1037</v>
      </c>
    </row>
    <row r="90" spans="1:9" ht="13.5" x14ac:dyDescent="0.2">
      <c r="A90" s="20">
        <v>89</v>
      </c>
      <c r="B90" s="20" t="s">
        <v>316</v>
      </c>
      <c r="C90" s="21">
        <v>4.5</v>
      </c>
      <c r="D90" s="22">
        <v>20</v>
      </c>
      <c r="E90" s="23">
        <v>13</v>
      </c>
      <c r="F90" s="23">
        <v>15</v>
      </c>
      <c r="G90" s="23">
        <v>0</v>
      </c>
      <c r="H90" s="23">
        <v>0</v>
      </c>
      <c r="I90" s="25" t="s">
        <v>1047</v>
      </c>
    </row>
    <row r="91" spans="1:9" ht="13.5" x14ac:dyDescent="0.2">
      <c r="A91" s="20">
        <v>90</v>
      </c>
      <c r="B91" s="20" t="s">
        <v>333</v>
      </c>
      <c r="C91" s="21">
        <v>4.5</v>
      </c>
      <c r="D91" s="22">
        <v>20</v>
      </c>
      <c r="E91" s="23">
        <v>13</v>
      </c>
      <c r="F91" s="23">
        <v>12</v>
      </c>
      <c r="G91" s="23">
        <v>0</v>
      </c>
      <c r="H91" s="23">
        <v>0</v>
      </c>
      <c r="I91" s="25" t="s">
        <v>1048</v>
      </c>
    </row>
    <row r="92" spans="1:9" ht="13.5" x14ac:dyDescent="0.2">
      <c r="A92" s="20">
        <v>91</v>
      </c>
      <c r="B92" s="20" t="s">
        <v>515</v>
      </c>
      <c r="C92" s="21">
        <v>4</v>
      </c>
      <c r="D92" s="22">
        <v>20</v>
      </c>
      <c r="E92" s="23">
        <v>12</v>
      </c>
      <c r="F92" s="23">
        <v>10</v>
      </c>
      <c r="G92" s="23">
        <v>0</v>
      </c>
      <c r="H92" s="23">
        <v>0</v>
      </c>
      <c r="I92" s="25" t="s">
        <v>1049</v>
      </c>
    </row>
    <row r="93" spans="1:9" ht="13.5" x14ac:dyDescent="0.2">
      <c r="A93" s="20">
        <v>92</v>
      </c>
      <c r="B93" s="20" t="s">
        <v>516</v>
      </c>
      <c r="C93" s="21">
        <v>6</v>
      </c>
      <c r="D93" s="22">
        <v>20</v>
      </c>
      <c r="E93" s="23">
        <v>16</v>
      </c>
      <c r="F93" s="23">
        <v>16</v>
      </c>
      <c r="G93" s="23">
        <v>24</v>
      </c>
      <c r="H93" s="23">
        <v>0</v>
      </c>
      <c r="I93" s="25" t="s">
        <v>1050</v>
      </c>
    </row>
    <row r="94" spans="1:9" ht="13.5" x14ac:dyDescent="0.2">
      <c r="A94" s="20">
        <v>93</v>
      </c>
      <c r="B94" s="20" t="s">
        <v>499</v>
      </c>
      <c r="C94" s="21">
        <v>6</v>
      </c>
      <c r="D94" s="22">
        <v>20</v>
      </c>
      <c r="E94" s="23">
        <v>16</v>
      </c>
      <c r="F94" s="23">
        <v>22</v>
      </c>
      <c r="G94" s="23">
        <v>0</v>
      </c>
      <c r="H94" s="23">
        <v>0</v>
      </c>
      <c r="I94" s="25" t="s">
        <v>994</v>
      </c>
    </row>
    <row r="95" spans="1:9" ht="13.5" x14ac:dyDescent="0.2">
      <c r="A95" s="20">
        <v>94</v>
      </c>
      <c r="B95" s="20" t="s">
        <v>661</v>
      </c>
      <c r="C95" s="21">
        <v>10</v>
      </c>
      <c r="D95" s="22">
        <v>20</v>
      </c>
      <c r="E95" s="23">
        <v>24</v>
      </c>
      <c r="F95" s="23">
        <v>10</v>
      </c>
      <c r="G95" s="23">
        <v>0</v>
      </c>
      <c r="H95" s="23">
        <v>0</v>
      </c>
      <c r="I95" s="25" t="s">
        <v>1005</v>
      </c>
    </row>
    <row r="96" spans="1:9" ht="13.5" x14ac:dyDescent="0.2">
      <c r="A96" s="20">
        <v>95</v>
      </c>
      <c r="B96" s="20" t="s">
        <v>500</v>
      </c>
      <c r="C96" s="21">
        <v>10</v>
      </c>
      <c r="D96" s="22">
        <v>20</v>
      </c>
      <c r="E96" s="23">
        <v>24</v>
      </c>
      <c r="F96" s="23">
        <v>24</v>
      </c>
      <c r="G96" s="23">
        <v>0</v>
      </c>
      <c r="H96" s="23">
        <v>0</v>
      </c>
      <c r="I96" s="25" t="s">
        <v>1051</v>
      </c>
    </row>
    <row r="97" spans="1:9" ht="13.5" x14ac:dyDescent="0.2">
      <c r="A97" s="20">
        <v>96</v>
      </c>
      <c r="B97" s="20" t="s">
        <v>501</v>
      </c>
      <c r="C97" s="21">
        <v>4</v>
      </c>
      <c r="D97" s="22">
        <v>20</v>
      </c>
      <c r="E97" s="23">
        <v>12</v>
      </c>
      <c r="F97" s="23">
        <v>0</v>
      </c>
      <c r="G97" s="23">
        <v>14</v>
      </c>
      <c r="H97" s="23">
        <v>0</v>
      </c>
      <c r="I97" s="25" t="s">
        <v>1052</v>
      </c>
    </row>
    <row r="98" spans="1:9" ht="13.5" x14ac:dyDescent="0.2">
      <c r="A98" s="20">
        <v>97</v>
      </c>
      <c r="B98" s="20" t="s">
        <v>673</v>
      </c>
      <c r="C98" s="21">
        <v>5.5</v>
      </c>
      <c r="D98" s="22">
        <v>20</v>
      </c>
      <c r="E98" s="23">
        <v>15</v>
      </c>
      <c r="F98" s="23">
        <v>12</v>
      </c>
      <c r="G98" s="23">
        <v>0</v>
      </c>
      <c r="H98" s="23">
        <v>0</v>
      </c>
      <c r="I98" s="25" t="s">
        <v>1053</v>
      </c>
    </row>
    <row r="99" spans="1:9" ht="13.5" x14ac:dyDescent="0.2">
      <c r="A99" s="20">
        <v>98</v>
      </c>
      <c r="B99" s="20" t="s">
        <v>313</v>
      </c>
      <c r="C99" s="21">
        <v>6</v>
      </c>
      <c r="D99" s="22">
        <v>20</v>
      </c>
      <c r="E99" s="23">
        <v>16</v>
      </c>
      <c r="F99" s="23">
        <v>12</v>
      </c>
      <c r="G99" s="23">
        <v>0</v>
      </c>
      <c r="H99" s="23">
        <v>0</v>
      </c>
      <c r="I99" s="25" t="s">
        <v>1054</v>
      </c>
    </row>
    <row r="100" spans="1:9" ht="13.5" x14ac:dyDescent="0.2">
      <c r="A100" s="20">
        <v>99</v>
      </c>
      <c r="B100" s="20" t="s">
        <v>551</v>
      </c>
      <c r="C100" s="21">
        <v>16</v>
      </c>
      <c r="D100" s="22">
        <v>20</v>
      </c>
      <c r="E100" s="23">
        <v>36</v>
      </c>
      <c r="F100" s="23">
        <v>12</v>
      </c>
      <c r="G100" s="23">
        <v>0</v>
      </c>
      <c r="H100" s="23">
        <v>0</v>
      </c>
      <c r="I100" s="25" t="s">
        <v>1055</v>
      </c>
    </row>
    <row r="101" spans="1:9" ht="13.5" x14ac:dyDescent="0.2">
      <c r="A101" s="20">
        <v>100</v>
      </c>
      <c r="B101" s="20" t="s">
        <v>502</v>
      </c>
      <c r="C101" s="21">
        <v>6</v>
      </c>
      <c r="D101" s="22">
        <v>20</v>
      </c>
      <c r="E101" s="23">
        <v>16</v>
      </c>
      <c r="F101" s="23">
        <v>14</v>
      </c>
      <c r="G101" s="23">
        <v>0</v>
      </c>
      <c r="H101" s="23">
        <v>0</v>
      </c>
      <c r="I101" s="25" t="s">
        <v>999</v>
      </c>
    </row>
    <row r="102" spans="1:9" ht="13.5" x14ac:dyDescent="0.2">
      <c r="A102" s="20">
        <v>101</v>
      </c>
      <c r="B102" s="20" t="s">
        <v>566</v>
      </c>
      <c r="C102" s="21">
        <v>6</v>
      </c>
      <c r="D102" s="22">
        <v>20</v>
      </c>
      <c r="E102" s="23">
        <v>16</v>
      </c>
      <c r="F102" s="23">
        <v>12</v>
      </c>
      <c r="G102" s="23">
        <v>0</v>
      </c>
      <c r="H102" s="23">
        <v>0</v>
      </c>
      <c r="I102" s="25" t="s">
        <v>1054</v>
      </c>
    </row>
    <row r="103" spans="1:9" ht="13.5" x14ac:dyDescent="0.2">
      <c r="A103" s="20">
        <v>102</v>
      </c>
      <c r="B103" s="20" t="s">
        <v>503</v>
      </c>
      <c r="C103" s="21">
        <v>14</v>
      </c>
      <c r="D103" s="22">
        <v>30</v>
      </c>
      <c r="E103" s="23">
        <v>32</v>
      </c>
      <c r="F103" s="23">
        <v>18</v>
      </c>
      <c r="G103" s="23">
        <v>0</v>
      </c>
      <c r="H103" s="23">
        <v>0</v>
      </c>
      <c r="I103" s="25" t="s">
        <v>1009</v>
      </c>
    </row>
    <row r="104" spans="1:9" ht="13.5" x14ac:dyDescent="0.2">
      <c r="A104" s="20">
        <v>103</v>
      </c>
      <c r="B104" s="20" t="s">
        <v>1095</v>
      </c>
      <c r="C104" s="21">
        <v>5.5</v>
      </c>
      <c r="D104" s="22">
        <v>20</v>
      </c>
      <c r="E104" s="23">
        <v>15</v>
      </c>
      <c r="F104" s="23">
        <v>12</v>
      </c>
      <c r="G104" s="23">
        <v>0</v>
      </c>
      <c r="H104" s="23">
        <v>0</v>
      </c>
      <c r="I104" s="25" t="s">
        <v>1053</v>
      </c>
    </row>
    <row r="105" spans="1:9" ht="13.5" x14ac:dyDescent="0.2">
      <c r="A105" s="20">
        <v>104</v>
      </c>
      <c r="B105" s="20" t="s">
        <v>407</v>
      </c>
      <c r="C105" s="21">
        <v>5</v>
      </c>
      <c r="D105" s="22">
        <v>20</v>
      </c>
      <c r="E105" s="23">
        <v>14</v>
      </c>
      <c r="F105" s="23">
        <v>12</v>
      </c>
      <c r="G105" s="23">
        <v>0</v>
      </c>
      <c r="H105" s="23">
        <v>0</v>
      </c>
      <c r="I105" s="25" t="s">
        <v>1056</v>
      </c>
    </row>
    <row r="106" spans="1:9" ht="13.5" x14ac:dyDescent="0.2">
      <c r="A106" s="20">
        <v>105</v>
      </c>
      <c r="B106" s="20" t="s">
        <v>358</v>
      </c>
      <c r="C106" s="21">
        <v>5</v>
      </c>
      <c r="D106" s="22">
        <v>20</v>
      </c>
      <c r="E106" s="23">
        <v>14</v>
      </c>
      <c r="F106" s="23">
        <v>14</v>
      </c>
      <c r="G106" s="23">
        <v>0</v>
      </c>
      <c r="H106" s="23">
        <v>0</v>
      </c>
      <c r="I106" s="25" t="s">
        <v>1019</v>
      </c>
    </row>
    <row r="107" spans="1:9" ht="13.5" x14ac:dyDescent="0.2">
      <c r="A107" s="20">
        <v>106</v>
      </c>
      <c r="B107" s="20" t="s">
        <v>504</v>
      </c>
      <c r="C107" s="21">
        <v>6</v>
      </c>
      <c r="D107" s="22">
        <v>20</v>
      </c>
      <c r="E107" s="23">
        <v>16</v>
      </c>
      <c r="F107" s="23">
        <v>14</v>
      </c>
      <c r="G107" s="23">
        <v>0</v>
      </c>
      <c r="H107" s="23">
        <v>0</v>
      </c>
      <c r="I107" s="25" t="s">
        <v>999</v>
      </c>
    </row>
    <row r="108" spans="1:9" ht="13.5" x14ac:dyDescent="0.2">
      <c r="A108" s="20">
        <v>107</v>
      </c>
      <c r="B108" s="20" t="s">
        <v>475</v>
      </c>
      <c r="C108" s="21">
        <v>0.5</v>
      </c>
      <c r="D108" s="22">
        <v>0</v>
      </c>
      <c r="E108" s="23">
        <v>10</v>
      </c>
      <c r="F108" s="23">
        <v>12</v>
      </c>
      <c r="G108" s="23">
        <v>0</v>
      </c>
      <c r="H108" s="23">
        <v>0</v>
      </c>
      <c r="I108" s="25" t="s">
        <v>1023</v>
      </c>
    </row>
    <row r="109" spans="1:9" ht="13.5" x14ac:dyDescent="0.2">
      <c r="A109" s="20">
        <v>108</v>
      </c>
      <c r="B109" s="20" t="s">
        <v>337</v>
      </c>
      <c r="C109" s="21">
        <v>1</v>
      </c>
      <c r="D109" s="22">
        <v>0</v>
      </c>
      <c r="E109" s="23">
        <v>13</v>
      </c>
      <c r="F109" s="23">
        <v>14</v>
      </c>
      <c r="G109" s="23">
        <v>0</v>
      </c>
      <c r="H109" s="23">
        <v>0</v>
      </c>
      <c r="I109" s="25" t="s">
        <v>1057</v>
      </c>
    </row>
    <row r="110" spans="1:9" ht="13.5" x14ac:dyDescent="0.2">
      <c r="A110" s="20">
        <v>109</v>
      </c>
      <c r="B110" s="20" t="s">
        <v>283</v>
      </c>
      <c r="C110" s="21">
        <v>1</v>
      </c>
      <c r="D110" s="22">
        <v>0</v>
      </c>
      <c r="E110" s="23">
        <v>13</v>
      </c>
      <c r="F110" s="23">
        <v>18</v>
      </c>
      <c r="G110" s="23">
        <v>0</v>
      </c>
      <c r="H110" s="23">
        <v>0</v>
      </c>
      <c r="I110" s="25" t="s">
        <v>1058</v>
      </c>
    </row>
    <row r="111" spans="1:9" ht="13.5" x14ac:dyDescent="0.2">
      <c r="A111" s="20">
        <v>110</v>
      </c>
      <c r="B111" s="20" t="s">
        <v>409</v>
      </c>
      <c r="C111" s="21">
        <v>10</v>
      </c>
      <c r="D111" s="22">
        <v>0</v>
      </c>
      <c r="E111" s="23">
        <v>30</v>
      </c>
      <c r="F111" s="23">
        <v>20</v>
      </c>
      <c r="G111" s="23">
        <v>0</v>
      </c>
      <c r="H111" s="23">
        <v>0</v>
      </c>
      <c r="I111" s="25" t="s">
        <v>1059</v>
      </c>
    </row>
    <row r="112" spans="1:9" ht="13.5" x14ac:dyDescent="0.2">
      <c r="A112" s="20">
        <v>111</v>
      </c>
      <c r="B112" s="20" t="s">
        <v>434</v>
      </c>
      <c r="C112" s="21">
        <v>1</v>
      </c>
      <c r="D112" s="22">
        <v>0</v>
      </c>
      <c r="E112" s="23">
        <v>16</v>
      </c>
      <c r="F112" s="23">
        <v>12</v>
      </c>
      <c r="G112" s="23">
        <v>0</v>
      </c>
      <c r="H112" s="23">
        <v>0</v>
      </c>
      <c r="I112" s="25" t="s">
        <v>1054</v>
      </c>
    </row>
    <row r="113" spans="1:9" ht="13.5" x14ac:dyDescent="0.2">
      <c r="A113" s="20">
        <v>112</v>
      </c>
      <c r="B113" s="20" t="s">
        <v>505</v>
      </c>
      <c r="C113" s="21">
        <v>1</v>
      </c>
      <c r="D113" s="22">
        <v>0</v>
      </c>
      <c r="E113" s="23">
        <v>10</v>
      </c>
      <c r="F113" s="23">
        <v>16</v>
      </c>
      <c r="G113" s="23">
        <v>0</v>
      </c>
      <c r="H113" s="23">
        <v>16</v>
      </c>
      <c r="I113" s="25" t="s">
        <v>1060</v>
      </c>
    </row>
    <row r="114" spans="1:9" ht="13.5" x14ac:dyDescent="0.2">
      <c r="A114" s="20">
        <v>113</v>
      </c>
      <c r="B114" s="20" t="s">
        <v>678</v>
      </c>
      <c r="C114" s="21">
        <v>13</v>
      </c>
      <c r="D114" s="22">
        <v>0</v>
      </c>
      <c r="E114" s="23">
        <v>40</v>
      </c>
      <c r="F114" s="23">
        <v>20</v>
      </c>
      <c r="G114" s="23">
        <v>0</v>
      </c>
      <c r="H114" s="23">
        <v>0</v>
      </c>
      <c r="I114" s="25" t="s">
        <v>1061</v>
      </c>
    </row>
    <row r="115" spans="1:9" ht="13.5" x14ac:dyDescent="0.2">
      <c r="A115" s="20">
        <v>114</v>
      </c>
      <c r="B115" s="20" t="s">
        <v>299</v>
      </c>
      <c r="C115" s="21">
        <v>3</v>
      </c>
      <c r="D115" s="22">
        <v>0</v>
      </c>
      <c r="E115" s="23">
        <v>10</v>
      </c>
      <c r="F115" s="23">
        <v>8</v>
      </c>
      <c r="G115" s="23">
        <v>0</v>
      </c>
      <c r="H115" s="23">
        <v>0</v>
      </c>
      <c r="I115" s="25" t="s">
        <v>1062</v>
      </c>
    </row>
    <row r="116" spans="1:9" ht="13.5" x14ac:dyDescent="0.2">
      <c r="A116" s="20">
        <v>115</v>
      </c>
      <c r="B116" s="20" t="s">
        <v>293</v>
      </c>
      <c r="C116" s="21">
        <v>5</v>
      </c>
      <c r="D116" s="22">
        <v>0</v>
      </c>
      <c r="E116" s="23">
        <v>14</v>
      </c>
      <c r="F116" s="23">
        <v>8</v>
      </c>
      <c r="G116" s="23">
        <v>0</v>
      </c>
      <c r="H116" s="23">
        <v>0</v>
      </c>
      <c r="I116" s="25" t="s">
        <v>1063</v>
      </c>
    </row>
    <row r="117" spans="1:9" ht="13.5" x14ac:dyDescent="0.2">
      <c r="A117" s="20">
        <v>116</v>
      </c>
      <c r="B117" s="20" t="s">
        <v>446</v>
      </c>
      <c r="C117" s="21">
        <v>6</v>
      </c>
      <c r="D117" s="22">
        <v>0</v>
      </c>
      <c r="E117" s="23">
        <v>16</v>
      </c>
      <c r="F117" s="23">
        <v>14</v>
      </c>
      <c r="G117" s="23">
        <v>0</v>
      </c>
      <c r="H117" s="23">
        <v>0</v>
      </c>
      <c r="I117" s="25" t="s">
        <v>999</v>
      </c>
    </row>
    <row r="118" spans="1:9" ht="13.5" x14ac:dyDescent="0.2">
      <c r="A118" s="20">
        <v>117</v>
      </c>
      <c r="B118" s="20" t="s">
        <v>408</v>
      </c>
      <c r="C118" s="21">
        <v>8</v>
      </c>
      <c r="D118" s="22">
        <v>0</v>
      </c>
      <c r="E118" s="23">
        <v>20</v>
      </c>
      <c r="F118" s="23">
        <v>16</v>
      </c>
      <c r="G118" s="23">
        <v>0</v>
      </c>
      <c r="H118" s="23">
        <v>0</v>
      </c>
      <c r="I118" s="25" t="s">
        <v>1004</v>
      </c>
    </row>
    <row r="119" spans="1:9" ht="13.5" x14ac:dyDescent="0.2">
      <c r="A119" s="20">
        <v>118</v>
      </c>
      <c r="B119" s="26" t="s">
        <v>312</v>
      </c>
      <c r="C119" s="21">
        <v>2</v>
      </c>
      <c r="D119" s="22">
        <v>5</v>
      </c>
      <c r="E119" s="23">
        <v>6</v>
      </c>
      <c r="F119" s="23">
        <v>0</v>
      </c>
      <c r="G119" s="23">
        <v>10</v>
      </c>
      <c r="H119" s="23">
        <v>0</v>
      </c>
      <c r="I119" s="25" t="s">
        <v>1064</v>
      </c>
    </row>
    <row r="120" spans="1:9" ht="13.5" x14ac:dyDescent="0.2">
      <c r="A120" s="20">
        <v>119</v>
      </c>
      <c r="B120" s="26" t="s">
        <v>445</v>
      </c>
      <c r="C120" s="21">
        <v>2</v>
      </c>
      <c r="D120" s="22">
        <v>5</v>
      </c>
      <c r="E120" s="23">
        <v>6</v>
      </c>
      <c r="F120" s="23">
        <v>0</v>
      </c>
      <c r="G120" s="23">
        <v>10</v>
      </c>
      <c r="H120" s="23">
        <v>0</v>
      </c>
      <c r="I120" s="25" t="s">
        <v>1064</v>
      </c>
    </row>
    <row r="121" spans="1:9" ht="13.5" x14ac:dyDescent="0.2">
      <c r="A121" s="20">
        <v>120</v>
      </c>
      <c r="B121" s="26" t="s">
        <v>381</v>
      </c>
      <c r="C121" s="21">
        <v>3</v>
      </c>
      <c r="D121" s="22">
        <v>5</v>
      </c>
      <c r="E121" s="23">
        <v>10</v>
      </c>
      <c r="F121" s="23">
        <v>10</v>
      </c>
      <c r="G121" s="23">
        <v>12</v>
      </c>
      <c r="H121" s="23">
        <v>0</v>
      </c>
      <c r="I121" s="25" t="s">
        <v>1065</v>
      </c>
    </row>
    <row r="122" spans="1:9" ht="13.5" x14ac:dyDescent="0.2">
      <c r="A122" s="20">
        <v>121</v>
      </c>
      <c r="B122" s="26" t="s">
        <v>457</v>
      </c>
      <c r="C122" s="21">
        <v>2</v>
      </c>
      <c r="D122" s="22">
        <v>5</v>
      </c>
      <c r="E122" s="23">
        <v>6</v>
      </c>
      <c r="F122" s="23">
        <v>0</v>
      </c>
      <c r="G122" s="23">
        <v>24</v>
      </c>
      <c r="H122" s="23">
        <v>0</v>
      </c>
      <c r="I122" s="25" t="s">
        <v>1066</v>
      </c>
    </row>
    <row r="123" spans="1:9" ht="13.5" x14ac:dyDescent="0.2">
      <c r="A123" s="20">
        <v>122</v>
      </c>
      <c r="B123" s="26" t="s">
        <v>506</v>
      </c>
      <c r="C123" s="21">
        <v>1</v>
      </c>
      <c r="D123" s="22">
        <v>5</v>
      </c>
      <c r="E123" s="23">
        <v>4</v>
      </c>
      <c r="F123" s="23">
        <v>0</v>
      </c>
      <c r="G123" s="23">
        <v>0</v>
      </c>
      <c r="H123" s="23">
        <v>16</v>
      </c>
      <c r="I123" s="25" t="s">
        <v>1067</v>
      </c>
    </row>
    <row r="124" spans="1:9" ht="13.5" x14ac:dyDescent="0.2">
      <c r="A124" s="20">
        <v>123</v>
      </c>
      <c r="B124" s="26" t="s">
        <v>663</v>
      </c>
      <c r="C124" s="21">
        <v>0.5</v>
      </c>
      <c r="D124" s="22">
        <v>5</v>
      </c>
      <c r="E124" s="23">
        <v>3</v>
      </c>
      <c r="F124" s="23">
        <v>0</v>
      </c>
      <c r="G124" s="23">
        <v>12</v>
      </c>
      <c r="H124" s="23">
        <v>0</v>
      </c>
      <c r="I124" s="25" t="s">
        <v>1068</v>
      </c>
    </row>
    <row r="125" spans="1:9" ht="13.5" x14ac:dyDescent="0.2">
      <c r="A125" s="20">
        <v>124</v>
      </c>
      <c r="B125" s="27" t="s">
        <v>282</v>
      </c>
      <c r="C125" s="21">
        <v>2.5</v>
      </c>
      <c r="D125" s="22">
        <v>5</v>
      </c>
      <c r="E125" s="23">
        <v>7</v>
      </c>
      <c r="F125" s="23">
        <v>0</v>
      </c>
      <c r="G125" s="23">
        <v>32</v>
      </c>
      <c r="H125" s="23">
        <v>0</v>
      </c>
      <c r="I125" s="25" t="s">
        <v>1069</v>
      </c>
    </row>
    <row r="126" spans="1:9" ht="13.5" x14ac:dyDescent="0.2">
      <c r="A126" s="20">
        <v>125</v>
      </c>
      <c r="B126" s="26" t="s">
        <v>513</v>
      </c>
      <c r="C126" s="21">
        <v>4</v>
      </c>
      <c r="D126" s="22">
        <v>5</v>
      </c>
      <c r="E126" s="23">
        <v>12</v>
      </c>
      <c r="F126" s="23">
        <v>10</v>
      </c>
      <c r="G126" s="23">
        <v>10</v>
      </c>
      <c r="H126" s="23">
        <v>0</v>
      </c>
      <c r="I126" s="25" t="s">
        <v>1070</v>
      </c>
    </row>
    <row r="127" spans="1:9" ht="13.5" x14ac:dyDescent="0.2">
      <c r="A127" s="20">
        <v>126</v>
      </c>
      <c r="B127" s="26" t="s">
        <v>279</v>
      </c>
      <c r="C127" s="21">
        <v>2</v>
      </c>
      <c r="D127" s="22">
        <v>5</v>
      </c>
      <c r="E127" s="23">
        <v>6</v>
      </c>
      <c r="F127" s="23">
        <v>0</v>
      </c>
      <c r="G127" s="23">
        <v>14</v>
      </c>
      <c r="H127" s="23">
        <v>0</v>
      </c>
      <c r="I127" s="25" t="s">
        <v>1071</v>
      </c>
    </row>
    <row r="128" spans="1:9" ht="13.5" x14ac:dyDescent="0.2">
      <c r="A128" s="20">
        <v>127</v>
      </c>
      <c r="B128" s="26" t="s">
        <v>674</v>
      </c>
      <c r="C128" s="21">
        <v>5</v>
      </c>
      <c r="D128" s="22">
        <v>50</v>
      </c>
      <c r="E128" s="23">
        <v>14</v>
      </c>
      <c r="F128" s="23">
        <v>0</v>
      </c>
      <c r="G128" s="23">
        <v>13</v>
      </c>
      <c r="H128" s="23">
        <v>0</v>
      </c>
      <c r="I128" s="25" t="s">
        <v>1072</v>
      </c>
    </row>
    <row r="129" spans="1:9" ht="13.5" x14ac:dyDescent="0.2">
      <c r="A129" s="20">
        <v>128</v>
      </c>
      <c r="B129" s="26" t="s">
        <v>675</v>
      </c>
      <c r="C129" s="21">
        <v>2</v>
      </c>
      <c r="D129" s="22">
        <v>5</v>
      </c>
      <c r="E129" s="23">
        <v>6</v>
      </c>
      <c r="F129" s="23">
        <v>0</v>
      </c>
      <c r="G129" s="23">
        <v>10</v>
      </c>
      <c r="H129" s="23">
        <v>0</v>
      </c>
      <c r="I129" s="25" t="s">
        <v>1064</v>
      </c>
    </row>
    <row r="130" spans="1:9" ht="13.5" x14ac:dyDescent="0.2">
      <c r="A130" s="20">
        <v>129</v>
      </c>
      <c r="B130" s="26" t="s">
        <v>245</v>
      </c>
      <c r="C130" s="21">
        <v>0</v>
      </c>
      <c r="D130" s="22">
        <v>5</v>
      </c>
      <c r="E130" s="23">
        <v>4</v>
      </c>
      <c r="F130" s="23">
        <v>0</v>
      </c>
      <c r="G130" s="23">
        <v>0</v>
      </c>
      <c r="H130" s="23">
        <v>0</v>
      </c>
      <c r="I130" s="25" t="s">
        <v>1073</v>
      </c>
    </row>
    <row r="131" spans="1:9" ht="13.5" x14ac:dyDescent="0.2">
      <c r="A131" s="20">
        <v>130</v>
      </c>
      <c r="B131" s="26" t="s">
        <v>245</v>
      </c>
      <c r="C131" s="21">
        <v>0</v>
      </c>
      <c r="D131" s="22">
        <v>5</v>
      </c>
      <c r="E131" s="23">
        <v>4</v>
      </c>
      <c r="F131" s="23">
        <v>0</v>
      </c>
      <c r="G131" s="23">
        <v>0</v>
      </c>
      <c r="H131" s="23">
        <v>0</v>
      </c>
      <c r="I131" s="25" t="s">
        <v>1073</v>
      </c>
    </row>
    <row r="132" spans="1:9" ht="13.5" x14ac:dyDescent="0.2">
      <c r="A132" s="20">
        <v>131</v>
      </c>
      <c r="B132" s="26" t="s">
        <v>318</v>
      </c>
      <c r="C132" s="21">
        <v>0.3</v>
      </c>
      <c r="D132" s="22">
        <v>5</v>
      </c>
      <c r="E132" s="23">
        <v>4</v>
      </c>
      <c r="F132" s="23">
        <v>0</v>
      </c>
      <c r="G132" s="23">
        <v>0</v>
      </c>
      <c r="H132" s="23">
        <v>10</v>
      </c>
      <c r="I132" s="25" t="s">
        <v>1074</v>
      </c>
    </row>
    <row r="133" spans="1:9" ht="13.5" x14ac:dyDescent="0.2">
      <c r="A133" s="20">
        <v>132</v>
      </c>
      <c r="B133" s="26" t="s">
        <v>480</v>
      </c>
      <c r="C133" s="21">
        <v>0.3</v>
      </c>
      <c r="D133" s="22">
        <v>5</v>
      </c>
      <c r="E133" s="23">
        <v>4</v>
      </c>
      <c r="F133" s="23">
        <v>0</v>
      </c>
      <c r="G133" s="23">
        <v>0</v>
      </c>
      <c r="H133" s="23">
        <v>14</v>
      </c>
      <c r="I133" s="25" t="s">
        <v>1075</v>
      </c>
    </row>
    <row r="134" spans="1:9" ht="13.5" x14ac:dyDescent="0.2">
      <c r="A134" s="20">
        <v>133</v>
      </c>
      <c r="B134" s="26" t="s">
        <v>664</v>
      </c>
      <c r="C134" s="21">
        <v>0.3</v>
      </c>
      <c r="D134" s="22">
        <v>5</v>
      </c>
      <c r="E134" s="23">
        <v>4</v>
      </c>
      <c r="F134" s="23">
        <v>0</v>
      </c>
      <c r="G134" s="23">
        <v>0</v>
      </c>
      <c r="H134" s="23">
        <v>10</v>
      </c>
      <c r="I134" s="25" t="s">
        <v>1074</v>
      </c>
    </row>
    <row r="135" spans="1:9" ht="13.5" x14ac:dyDescent="0.2">
      <c r="A135" s="20">
        <v>134</v>
      </c>
      <c r="B135" s="26" t="s">
        <v>267</v>
      </c>
      <c r="C135" s="21">
        <v>0.3</v>
      </c>
      <c r="D135" s="22">
        <v>5</v>
      </c>
      <c r="E135" s="23">
        <v>4</v>
      </c>
      <c r="F135" s="23">
        <v>0</v>
      </c>
      <c r="G135" s="23">
        <v>0</v>
      </c>
      <c r="H135" s="23">
        <v>16</v>
      </c>
      <c r="I135" s="25" t="s">
        <v>1067</v>
      </c>
    </row>
    <row r="136" spans="1:9" ht="13.5" x14ac:dyDescent="0.2">
      <c r="A136" s="20">
        <v>135</v>
      </c>
      <c r="B136" s="26" t="s">
        <v>266</v>
      </c>
      <c r="C136" s="21">
        <v>0.3</v>
      </c>
      <c r="D136" s="22">
        <v>5</v>
      </c>
      <c r="E136" s="23">
        <v>4</v>
      </c>
      <c r="F136" s="23">
        <v>0</v>
      </c>
      <c r="G136" s="23">
        <v>0</v>
      </c>
      <c r="H136" s="23">
        <v>14</v>
      </c>
      <c r="I136" s="25" t="s">
        <v>1075</v>
      </c>
    </row>
    <row r="137" spans="1:9" ht="13.5" x14ac:dyDescent="0.2">
      <c r="A137" s="20">
        <v>136</v>
      </c>
      <c r="B137" s="26" t="s">
        <v>247</v>
      </c>
      <c r="C137" s="21">
        <v>0.3</v>
      </c>
      <c r="D137" s="22">
        <v>5</v>
      </c>
      <c r="E137" s="23">
        <v>4</v>
      </c>
      <c r="F137" s="23">
        <v>0</v>
      </c>
      <c r="G137" s="23">
        <v>0</v>
      </c>
      <c r="H137" s="23">
        <v>24</v>
      </c>
      <c r="I137" s="25" t="s">
        <v>1076</v>
      </c>
    </row>
    <row r="138" spans="1:9" ht="13.5" x14ac:dyDescent="0.2">
      <c r="A138" s="20">
        <v>137</v>
      </c>
      <c r="B138" s="26" t="s">
        <v>665</v>
      </c>
      <c r="C138" s="21">
        <v>0.3</v>
      </c>
      <c r="D138" s="22">
        <v>5</v>
      </c>
      <c r="E138" s="23">
        <v>4</v>
      </c>
      <c r="F138" s="23">
        <v>0</v>
      </c>
      <c r="G138" s="23">
        <v>16</v>
      </c>
      <c r="H138" s="23">
        <v>0</v>
      </c>
      <c r="I138" s="25" t="s">
        <v>1077</v>
      </c>
    </row>
    <row r="139" spans="1:9" ht="13.5" x14ac:dyDescent="0.2">
      <c r="A139" s="20">
        <v>138</v>
      </c>
      <c r="B139" s="26" t="s">
        <v>364</v>
      </c>
      <c r="C139" s="21">
        <v>0.5</v>
      </c>
      <c r="D139" s="22">
        <v>5</v>
      </c>
      <c r="E139" s="23">
        <v>5</v>
      </c>
      <c r="F139" s="23">
        <v>0</v>
      </c>
      <c r="G139" s="23">
        <v>0</v>
      </c>
      <c r="H139" s="23">
        <v>0</v>
      </c>
      <c r="I139" s="25" t="s">
        <v>1078</v>
      </c>
    </row>
    <row r="140" spans="1:9" ht="13.5" x14ac:dyDescent="0.2">
      <c r="A140" s="20">
        <v>139</v>
      </c>
      <c r="B140" s="20" t="s">
        <v>479</v>
      </c>
      <c r="C140" s="21">
        <v>1</v>
      </c>
      <c r="D140" s="22">
        <v>20</v>
      </c>
      <c r="E140" s="23">
        <v>6</v>
      </c>
      <c r="F140" s="23">
        <v>0</v>
      </c>
      <c r="G140" s="23">
        <v>0</v>
      </c>
      <c r="H140" s="23">
        <v>0</v>
      </c>
      <c r="I140" s="25" t="s">
        <v>1079</v>
      </c>
    </row>
    <row r="141" spans="1:9" ht="13.5" x14ac:dyDescent="0.2">
      <c r="A141" s="20">
        <v>140</v>
      </c>
      <c r="B141" s="20" t="s">
        <v>300</v>
      </c>
      <c r="C141" s="21">
        <v>1.5</v>
      </c>
      <c r="D141" s="22">
        <v>20</v>
      </c>
      <c r="E141" s="23">
        <v>7</v>
      </c>
      <c r="F141" s="23">
        <v>0</v>
      </c>
      <c r="G141" s="23">
        <v>0</v>
      </c>
      <c r="H141" s="23">
        <v>0</v>
      </c>
      <c r="I141" s="25" t="s">
        <v>1013</v>
      </c>
    </row>
    <row r="142" spans="1:9" ht="13.5" x14ac:dyDescent="0.2">
      <c r="A142" s="20">
        <v>141</v>
      </c>
      <c r="B142" s="20" t="s">
        <v>474</v>
      </c>
      <c r="C142" s="21">
        <v>1.5</v>
      </c>
      <c r="D142" s="22">
        <v>20</v>
      </c>
      <c r="E142" s="23">
        <v>7</v>
      </c>
      <c r="F142" s="23">
        <v>0</v>
      </c>
      <c r="G142" s="23">
        <v>0</v>
      </c>
      <c r="H142" s="23">
        <v>0</v>
      </c>
      <c r="I142" s="25" t="s">
        <v>1013</v>
      </c>
    </row>
    <row r="143" spans="1:9" ht="13.5" x14ac:dyDescent="0.2">
      <c r="A143" s="20">
        <v>142</v>
      </c>
      <c r="B143" s="20" t="s">
        <v>476</v>
      </c>
      <c r="C143" s="21">
        <v>0.5</v>
      </c>
      <c r="D143" s="22">
        <v>20</v>
      </c>
      <c r="E143" s="23">
        <v>5</v>
      </c>
      <c r="F143" s="23">
        <v>0</v>
      </c>
      <c r="G143" s="23">
        <v>0</v>
      </c>
      <c r="H143" s="23">
        <v>0</v>
      </c>
      <c r="I143" s="25" t="s">
        <v>1078</v>
      </c>
    </row>
    <row r="144" spans="1:9" ht="13.5" x14ac:dyDescent="0.2">
      <c r="A144" s="20">
        <v>143</v>
      </c>
      <c r="B144" s="20" t="s">
        <v>307</v>
      </c>
      <c r="C144" s="21">
        <v>2</v>
      </c>
      <c r="D144" s="22">
        <v>20</v>
      </c>
      <c r="E144" s="23">
        <v>8</v>
      </c>
      <c r="F144" s="23">
        <v>11</v>
      </c>
      <c r="G144" s="23">
        <v>0</v>
      </c>
      <c r="H144" s="23">
        <v>0</v>
      </c>
      <c r="I144" s="25" t="s">
        <v>1080</v>
      </c>
    </row>
    <row r="145" spans="1:9" ht="13.5" x14ac:dyDescent="0.2">
      <c r="A145" s="20">
        <v>144</v>
      </c>
      <c r="B145" s="20" t="s">
        <v>536</v>
      </c>
      <c r="C145" s="21">
        <v>1.5</v>
      </c>
      <c r="D145" s="22">
        <v>20</v>
      </c>
      <c r="E145" s="23">
        <v>7</v>
      </c>
      <c r="F145" s="23">
        <v>13</v>
      </c>
      <c r="G145" s="23">
        <v>0</v>
      </c>
      <c r="H145" s="23">
        <v>0</v>
      </c>
      <c r="I145" s="25" t="s">
        <v>1010</v>
      </c>
    </row>
    <row r="146" spans="1:9" ht="13.5" x14ac:dyDescent="0.2">
      <c r="A146" s="20">
        <v>145</v>
      </c>
      <c r="B146" s="20" t="s">
        <v>478</v>
      </c>
      <c r="C146" s="21">
        <v>1</v>
      </c>
      <c r="D146" s="22">
        <v>10</v>
      </c>
      <c r="E146" s="23">
        <v>6</v>
      </c>
      <c r="F146" s="23">
        <v>0</v>
      </c>
      <c r="G146" s="23">
        <v>0</v>
      </c>
      <c r="H146" s="23">
        <v>0</v>
      </c>
      <c r="I146" s="25" t="s">
        <v>1079</v>
      </c>
    </row>
    <row r="147" spans="1:9" ht="13.5" x14ac:dyDescent="0.2">
      <c r="A147" s="20">
        <v>146</v>
      </c>
      <c r="B147" s="20" t="s">
        <v>470</v>
      </c>
      <c r="C147" s="21">
        <v>1</v>
      </c>
      <c r="D147" s="22">
        <v>20</v>
      </c>
      <c r="E147" s="23">
        <v>6</v>
      </c>
      <c r="F147" s="23">
        <v>0</v>
      </c>
      <c r="G147" s="23">
        <v>0</v>
      </c>
      <c r="H147" s="23">
        <v>0</v>
      </c>
      <c r="I147" s="25" t="s">
        <v>1079</v>
      </c>
    </row>
    <row r="148" spans="1:9" ht="13.5" x14ac:dyDescent="0.2">
      <c r="A148" s="20">
        <v>147</v>
      </c>
      <c r="B148" s="20" t="s">
        <v>370</v>
      </c>
      <c r="C148" s="21">
        <v>1.5</v>
      </c>
      <c r="D148" s="22">
        <v>20</v>
      </c>
      <c r="E148" s="23">
        <v>7</v>
      </c>
      <c r="F148" s="23">
        <v>0</v>
      </c>
      <c r="G148" s="23">
        <v>0</v>
      </c>
      <c r="H148" s="23">
        <v>0</v>
      </c>
      <c r="I148" s="25" t="s">
        <v>1013</v>
      </c>
    </row>
    <row r="149" spans="1:9" ht="13.5" x14ac:dyDescent="0.2">
      <c r="A149" s="20">
        <v>148</v>
      </c>
      <c r="B149" s="20" t="s">
        <v>314</v>
      </c>
      <c r="C149" s="21">
        <v>1</v>
      </c>
      <c r="D149" s="22">
        <v>20</v>
      </c>
      <c r="E149" s="23">
        <v>6</v>
      </c>
      <c r="F149" s="23">
        <v>0</v>
      </c>
      <c r="G149" s="23">
        <v>0</v>
      </c>
      <c r="H149" s="23">
        <v>0</v>
      </c>
      <c r="I149" s="25" t="s">
        <v>1079</v>
      </c>
    </row>
    <row r="150" spans="1:9" ht="13.5" x14ac:dyDescent="0.2">
      <c r="A150" s="20">
        <v>149</v>
      </c>
      <c r="B150" s="20" t="s">
        <v>507</v>
      </c>
      <c r="C150" s="21">
        <v>3</v>
      </c>
      <c r="D150" s="22">
        <v>20</v>
      </c>
      <c r="E150" s="23">
        <v>10</v>
      </c>
      <c r="F150" s="23">
        <v>0</v>
      </c>
      <c r="G150" s="23">
        <v>0</v>
      </c>
      <c r="H150" s="23">
        <v>0</v>
      </c>
      <c r="I150" s="25" t="s">
        <v>1034</v>
      </c>
    </row>
    <row r="151" spans="1:9" ht="13.5" x14ac:dyDescent="0.2">
      <c r="A151" s="20">
        <v>150</v>
      </c>
      <c r="B151" s="20" t="s">
        <v>289</v>
      </c>
      <c r="C151" s="21">
        <v>2</v>
      </c>
      <c r="D151" s="22">
        <v>20</v>
      </c>
      <c r="E151" s="23">
        <v>8</v>
      </c>
      <c r="F151" s="23">
        <v>0</v>
      </c>
      <c r="G151" s="23">
        <v>0</v>
      </c>
      <c r="H151" s="23">
        <v>0</v>
      </c>
      <c r="I151" s="25" t="s">
        <v>1081</v>
      </c>
    </row>
    <row r="152" spans="1:9" ht="13.5" x14ac:dyDescent="0.2">
      <c r="A152" s="20">
        <v>151</v>
      </c>
      <c r="B152" s="20" t="s">
        <v>302</v>
      </c>
      <c r="C152" s="21">
        <v>5.5</v>
      </c>
      <c r="D152" s="22">
        <v>20</v>
      </c>
      <c r="E152" s="23">
        <v>10</v>
      </c>
      <c r="F152" s="23">
        <v>0</v>
      </c>
      <c r="G152" s="23">
        <v>0</v>
      </c>
      <c r="H152" s="23">
        <v>0</v>
      </c>
      <c r="I152" s="25" t="s">
        <v>1034</v>
      </c>
    </row>
    <row r="153" spans="1:9" ht="13.5" x14ac:dyDescent="0.2">
      <c r="A153" s="20">
        <v>152</v>
      </c>
      <c r="B153" s="20" t="s">
        <v>468</v>
      </c>
      <c r="C153" s="21">
        <v>3</v>
      </c>
      <c r="D153" s="22">
        <v>20</v>
      </c>
      <c r="E153" s="23">
        <v>10</v>
      </c>
      <c r="F153" s="23">
        <v>0</v>
      </c>
      <c r="G153" s="23">
        <v>0</v>
      </c>
      <c r="H153" s="23">
        <v>0</v>
      </c>
      <c r="I153" s="25" t="s">
        <v>1034</v>
      </c>
    </row>
    <row r="154" spans="1:9" ht="13.5" x14ac:dyDescent="0.2">
      <c r="A154" s="20">
        <v>153</v>
      </c>
      <c r="B154" s="20" t="s">
        <v>353</v>
      </c>
      <c r="C154" s="21">
        <v>3</v>
      </c>
      <c r="D154" s="22">
        <v>20</v>
      </c>
      <c r="E154" s="23">
        <v>10</v>
      </c>
      <c r="F154" s="23">
        <v>0</v>
      </c>
      <c r="G154" s="23">
        <v>0</v>
      </c>
      <c r="H154" s="23">
        <v>0</v>
      </c>
      <c r="I154" s="25" t="s">
        <v>1034</v>
      </c>
    </row>
    <row r="155" spans="1:9" ht="13.5" x14ac:dyDescent="0.2">
      <c r="A155" s="20">
        <v>154</v>
      </c>
      <c r="B155" s="20" t="s">
        <v>525</v>
      </c>
      <c r="C155" s="21">
        <v>3.5</v>
      </c>
      <c r="D155" s="22">
        <v>20</v>
      </c>
      <c r="E155" s="23">
        <v>11</v>
      </c>
      <c r="F155" s="23">
        <v>0</v>
      </c>
      <c r="G155" s="23">
        <v>0</v>
      </c>
      <c r="H155" s="23">
        <v>0</v>
      </c>
      <c r="I155" s="25" t="s">
        <v>1036</v>
      </c>
    </row>
    <row r="156" spans="1:9" ht="13.5" x14ac:dyDescent="0.2">
      <c r="A156" s="20">
        <v>155</v>
      </c>
      <c r="B156" s="20" t="s">
        <v>530</v>
      </c>
      <c r="C156" s="21">
        <v>4</v>
      </c>
      <c r="D156" s="22">
        <v>20</v>
      </c>
      <c r="E156" s="23">
        <v>12</v>
      </c>
      <c r="F156" s="23">
        <v>0</v>
      </c>
      <c r="G156" s="23">
        <v>0</v>
      </c>
      <c r="H156" s="23">
        <v>0</v>
      </c>
      <c r="I156" s="25" t="s">
        <v>1035</v>
      </c>
    </row>
    <row r="157" spans="1:9" ht="13.5" x14ac:dyDescent="0.2">
      <c r="A157" s="20">
        <v>156</v>
      </c>
      <c r="B157" s="20" t="s">
        <v>280</v>
      </c>
      <c r="C157" s="21">
        <v>3</v>
      </c>
      <c r="D157" s="22">
        <v>20</v>
      </c>
      <c r="E157" s="23">
        <v>10</v>
      </c>
      <c r="F157" s="23">
        <v>0</v>
      </c>
      <c r="G157" s="23">
        <v>0</v>
      </c>
      <c r="H157" s="23">
        <v>0</v>
      </c>
      <c r="I157" s="25" t="s">
        <v>1034</v>
      </c>
    </row>
    <row r="158" spans="1:9" ht="13.5" x14ac:dyDescent="0.2">
      <c r="A158" s="20">
        <v>157</v>
      </c>
      <c r="B158" s="20" t="s">
        <v>436</v>
      </c>
      <c r="C158" s="21">
        <v>3</v>
      </c>
      <c r="D158" s="22">
        <v>20</v>
      </c>
      <c r="E158" s="23">
        <v>10</v>
      </c>
      <c r="F158" s="23">
        <v>0</v>
      </c>
      <c r="G158" s="23">
        <v>0</v>
      </c>
      <c r="H158" s="23">
        <v>0</v>
      </c>
      <c r="I158" s="25" t="s">
        <v>1034</v>
      </c>
    </row>
    <row r="159" spans="1:9" ht="13.5" x14ac:dyDescent="0.2">
      <c r="A159" s="20">
        <v>158</v>
      </c>
      <c r="B159" s="20" t="s">
        <v>666</v>
      </c>
      <c r="C159" s="21">
        <v>1</v>
      </c>
      <c r="D159" s="22">
        <v>20</v>
      </c>
      <c r="E159" s="23">
        <v>6</v>
      </c>
      <c r="F159" s="23">
        <v>0</v>
      </c>
      <c r="G159" s="23">
        <v>0</v>
      </c>
      <c r="H159" s="23">
        <v>0</v>
      </c>
      <c r="I159" s="25" t="s">
        <v>1079</v>
      </c>
    </row>
    <row r="160" spans="1:9" ht="13.5" x14ac:dyDescent="0.2">
      <c r="A160" s="20">
        <v>159</v>
      </c>
      <c r="B160" s="20" t="s">
        <v>269</v>
      </c>
      <c r="C160" s="21">
        <v>5</v>
      </c>
      <c r="D160" s="22">
        <v>20</v>
      </c>
      <c r="E160" s="23">
        <v>14</v>
      </c>
      <c r="F160" s="23">
        <v>0</v>
      </c>
      <c r="G160" s="23">
        <v>0</v>
      </c>
      <c r="H160" s="23">
        <v>0</v>
      </c>
      <c r="I160" s="25" t="s">
        <v>1038</v>
      </c>
    </row>
    <row r="161" spans="1:9" ht="13.5" x14ac:dyDescent="0.2">
      <c r="A161" s="20">
        <v>160</v>
      </c>
      <c r="B161" s="20" t="s">
        <v>292</v>
      </c>
      <c r="C161" s="21">
        <v>3</v>
      </c>
      <c r="D161" s="22">
        <v>20</v>
      </c>
      <c r="E161" s="23">
        <v>10</v>
      </c>
      <c r="F161" s="23">
        <v>0</v>
      </c>
      <c r="G161" s="23">
        <v>0</v>
      </c>
      <c r="H161" s="23">
        <v>0</v>
      </c>
      <c r="I161" s="25" t="s">
        <v>1034</v>
      </c>
    </row>
    <row r="162" spans="1:9" ht="13.5" x14ac:dyDescent="0.2">
      <c r="A162" s="20">
        <v>161</v>
      </c>
      <c r="B162" s="20" t="s">
        <v>276</v>
      </c>
      <c r="C162" s="21">
        <v>3</v>
      </c>
      <c r="D162" s="22">
        <v>20</v>
      </c>
      <c r="E162" s="23">
        <v>10</v>
      </c>
      <c r="F162" s="23">
        <v>12</v>
      </c>
      <c r="G162" s="23">
        <v>0</v>
      </c>
      <c r="H162" s="23">
        <v>0</v>
      </c>
      <c r="I162" s="25" t="s">
        <v>1023</v>
      </c>
    </row>
    <row r="163" spans="1:9" ht="13.5" x14ac:dyDescent="0.2">
      <c r="A163" s="20">
        <v>162</v>
      </c>
      <c r="B163" s="20" t="s">
        <v>667</v>
      </c>
      <c r="C163" s="21">
        <v>5</v>
      </c>
      <c r="D163" s="22">
        <v>20</v>
      </c>
      <c r="E163" s="23">
        <v>14</v>
      </c>
      <c r="F163" s="23">
        <v>0</v>
      </c>
      <c r="G163" s="23">
        <v>0</v>
      </c>
      <c r="H163" s="23">
        <v>0</v>
      </c>
      <c r="I163" s="25" t="s">
        <v>1038</v>
      </c>
    </row>
    <row r="164" spans="1:9" ht="13.5" x14ac:dyDescent="0.2">
      <c r="A164" s="20">
        <v>163</v>
      </c>
      <c r="B164" s="20" t="s">
        <v>265</v>
      </c>
      <c r="C164" s="21">
        <v>4</v>
      </c>
      <c r="D164" s="22">
        <v>20</v>
      </c>
      <c r="E164" s="23">
        <v>12</v>
      </c>
      <c r="F164" s="23">
        <v>0</v>
      </c>
      <c r="G164" s="23">
        <v>0</v>
      </c>
      <c r="H164" s="23">
        <v>0</v>
      </c>
      <c r="I164" s="25" t="s">
        <v>1035</v>
      </c>
    </row>
    <row r="165" spans="1:9" ht="13.5" x14ac:dyDescent="0.2">
      <c r="A165" s="20">
        <v>164</v>
      </c>
      <c r="B165" s="20" t="s">
        <v>508</v>
      </c>
      <c r="C165" s="21">
        <v>5</v>
      </c>
      <c r="D165" s="22">
        <v>20</v>
      </c>
      <c r="E165" s="23">
        <v>14</v>
      </c>
      <c r="F165" s="23">
        <v>0</v>
      </c>
      <c r="G165" s="23">
        <v>0</v>
      </c>
      <c r="H165" s="23">
        <v>0</v>
      </c>
      <c r="I165" s="25" t="s">
        <v>1038</v>
      </c>
    </row>
    <row r="166" spans="1:9" ht="13.5" x14ac:dyDescent="0.2">
      <c r="A166" s="20">
        <v>165</v>
      </c>
      <c r="B166" s="20" t="s">
        <v>509</v>
      </c>
      <c r="C166" s="21">
        <v>6</v>
      </c>
      <c r="D166" s="22">
        <v>20</v>
      </c>
      <c r="E166" s="23">
        <v>16</v>
      </c>
      <c r="F166" s="23">
        <v>0</v>
      </c>
      <c r="G166" s="23">
        <v>0</v>
      </c>
      <c r="H166" s="23">
        <v>0</v>
      </c>
      <c r="I166" s="25" t="s">
        <v>1039</v>
      </c>
    </row>
    <row r="167" spans="1:9" ht="13.5" x14ac:dyDescent="0.2">
      <c r="A167" s="20">
        <v>166</v>
      </c>
      <c r="B167" s="20" t="s">
        <v>244</v>
      </c>
      <c r="C167" s="21">
        <v>3.5</v>
      </c>
      <c r="D167" s="22">
        <v>20</v>
      </c>
      <c r="E167" s="23">
        <v>11</v>
      </c>
      <c r="F167" s="23">
        <v>14</v>
      </c>
      <c r="G167" s="23">
        <v>0</v>
      </c>
      <c r="H167" s="23">
        <v>0</v>
      </c>
      <c r="I167" s="25" t="s">
        <v>1082</v>
      </c>
    </row>
    <row r="168" spans="1:9" ht="13.5" x14ac:dyDescent="0.2">
      <c r="A168" s="20">
        <v>167</v>
      </c>
      <c r="B168" s="20" t="s">
        <v>553</v>
      </c>
      <c r="C168" s="21">
        <v>1</v>
      </c>
      <c r="D168" s="22">
        <v>20</v>
      </c>
      <c r="E168" s="23">
        <v>6</v>
      </c>
      <c r="F168" s="23">
        <v>0</v>
      </c>
      <c r="G168" s="23">
        <v>0</v>
      </c>
      <c r="H168" s="23">
        <v>0</v>
      </c>
      <c r="I168" s="25" t="s">
        <v>1079</v>
      </c>
    </row>
    <row r="169" spans="1:9" ht="13.5" x14ac:dyDescent="0.2">
      <c r="A169" s="20">
        <v>168</v>
      </c>
      <c r="B169" s="20" t="s">
        <v>547</v>
      </c>
      <c r="C169" s="21">
        <v>3</v>
      </c>
      <c r="D169" s="22">
        <v>20</v>
      </c>
      <c r="E169" s="23">
        <v>10</v>
      </c>
      <c r="F169" s="23">
        <v>0</v>
      </c>
      <c r="G169" s="23">
        <v>0</v>
      </c>
      <c r="H169" s="23">
        <v>0</v>
      </c>
      <c r="I169" s="25" t="s">
        <v>1034</v>
      </c>
    </row>
    <row r="170" spans="1:9" ht="13.5" x14ac:dyDescent="0.2">
      <c r="A170" s="20">
        <v>169</v>
      </c>
      <c r="B170" s="20" t="s">
        <v>567</v>
      </c>
      <c r="C170" s="21">
        <v>4</v>
      </c>
      <c r="D170" s="22">
        <v>20</v>
      </c>
      <c r="E170" s="23">
        <v>12</v>
      </c>
      <c r="F170" s="23">
        <v>0</v>
      </c>
      <c r="G170" s="23">
        <v>0</v>
      </c>
      <c r="H170" s="23">
        <v>0</v>
      </c>
      <c r="I170" s="25" t="s">
        <v>1035</v>
      </c>
    </row>
    <row r="171" spans="1:9" ht="13.5" x14ac:dyDescent="0.2">
      <c r="A171" s="20">
        <v>170</v>
      </c>
      <c r="B171" s="20" t="s">
        <v>365</v>
      </c>
      <c r="C171" s="21">
        <v>3</v>
      </c>
      <c r="D171" s="22">
        <v>20</v>
      </c>
      <c r="E171" s="23">
        <v>10</v>
      </c>
      <c r="F171" s="23">
        <v>0</v>
      </c>
      <c r="G171" s="23">
        <v>0</v>
      </c>
      <c r="H171" s="23">
        <v>16</v>
      </c>
      <c r="I171" s="25" t="s">
        <v>1083</v>
      </c>
    </row>
    <row r="172" spans="1:9" ht="13.5" x14ac:dyDescent="0.2">
      <c r="A172" s="20">
        <v>171</v>
      </c>
      <c r="B172" s="20" t="s">
        <v>274</v>
      </c>
      <c r="C172" s="21">
        <v>3</v>
      </c>
      <c r="D172" s="22">
        <v>20</v>
      </c>
      <c r="E172" s="23">
        <v>10</v>
      </c>
      <c r="F172" s="23">
        <v>0</v>
      </c>
      <c r="G172" s="23">
        <v>0</v>
      </c>
      <c r="H172" s="23">
        <v>18</v>
      </c>
      <c r="I172" s="25" t="s">
        <v>1084</v>
      </c>
    </row>
    <row r="173" spans="1:9" ht="13.5" x14ac:dyDescent="0.2">
      <c r="A173" s="20">
        <v>172</v>
      </c>
      <c r="B173" s="20" t="s">
        <v>327</v>
      </c>
      <c r="C173" s="21">
        <v>3</v>
      </c>
      <c r="D173" s="22">
        <v>20</v>
      </c>
      <c r="E173" s="23">
        <v>10</v>
      </c>
      <c r="F173" s="23">
        <v>0</v>
      </c>
      <c r="G173" s="23">
        <v>0</v>
      </c>
      <c r="H173" s="23">
        <v>0</v>
      </c>
      <c r="I173" s="25" t="s">
        <v>1034</v>
      </c>
    </row>
    <row r="174" spans="1:9" ht="13.5" x14ac:dyDescent="0.2">
      <c r="A174" s="20">
        <v>173</v>
      </c>
      <c r="B174" s="20" t="s">
        <v>375</v>
      </c>
      <c r="C174" s="21">
        <v>6</v>
      </c>
      <c r="D174" s="22">
        <v>20</v>
      </c>
      <c r="E174" s="23">
        <v>16</v>
      </c>
      <c r="F174" s="23">
        <v>0</v>
      </c>
      <c r="G174" s="23">
        <v>0</v>
      </c>
      <c r="H174" s="23">
        <v>0</v>
      </c>
      <c r="I174" s="25" t="s">
        <v>1039</v>
      </c>
    </row>
    <row r="175" spans="1:9" ht="13.5" x14ac:dyDescent="0.2">
      <c r="A175" s="20">
        <v>174</v>
      </c>
      <c r="B175" s="20" t="s">
        <v>537</v>
      </c>
      <c r="C175" s="21">
        <v>13</v>
      </c>
      <c r="D175" s="22">
        <v>20</v>
      </c>
      <c r="E175" s="23">
        <v>30</v>
      </c>
      <c r="F175" s="23">
        <v>0</v>
      </c>
      <c r="G175" s="23">
        <v>0</v>
      </c>
      <c r="H175" s="23">
        <v>0</v>
      </c>
      <c r="I175" s="25" t="s">
        <v>1085</v>
      </c>
    </row>
    <row r="176" spans="1:9" ht="13.5" x14ac:dyDescent="0.2">
      <c r="A176" s="20">
        <v>175</v>
      </c>
      <c r="B176" s="20" t="s">
        <v>552</v>
      </c>
      <c r="C176" s="21">
        <v>18</v>
      </c>
      <c r="D176" s="22">
        <v>20</v>
      </c>
      <c r="E176" s="23">
        <v>36</v>
      </c>
      <c r="F176" s="23">
        <v>0</v>
      </c>
      <c r="G176" s="23">
        <v>0</v>
      </c>
      <c r="H176" s="23">
        <v>0</v>
      </c>
      <c r="I176" s="25" t="s">
        <v>1086</v>
      </c>
    </row>
    <row r="177" spans="1:9" ht="13.5" x14ac:dyDescent="0.2">
      <c r="A177" s="20">
        <v>176</v>
      </c>
      <c r="B177" s="20" t="s">
        <v>510</v>
      </c>
      <c r="C177" s="21">
        <v>20</v>
      </c>
      <c r="D177" s="22">
        <v>20</v>
      </c>
      <c r="E177" s="23">
        <v>38</v>
      </c>
      <c r="F177" s="23">
        <v>0</v>
      </c>
      <c r="G177" s="23">
        <v>0</v>
      </c>
      <c r="H177" s="23">
        <v>0</v>
      </c>
      <c r="I177" s="25" t="s">
        <v>1087</v>
      </c>
    </row>
    <row r="178" spans="1:9" ht="13.5" x14ac:dyDescent="0.2">
      <c r="A178" s="20">
        <v>177</v>
      </c>
      <c r="B178" s="20" t="s">
        <v>423</v>
      </c>
      <c r="C178" s="21">
        <v>26</v>
      </c>
      <c r="D178" s="22">
        <v>20</v>
      </c>
      <c r="E178" s="23">
        <v>50</v>
      </c>
      <c r="F178" s="23">
        <v>0</v>
      </c>
      <c r="G178" s="23">
        <v>0</v>
      </c>
      <c r="H178" s="23">
        <v>0</v>
      </c>
      <c r="I178" s="25" t="s">
        <v>1088</v>
      </c>
    </row>
    <row r="179" spans="1:9" ht="13.5" x14ac:dyDescent="0.2">
      <c r="A179" s="20">
        <v>178</v>
      </c>
      <c r="B179" s="20" t="s">
        <v>556</v>
      </c>
      <c r="C179" s="21">
        <v>12</v>
      </c>
      <c r="D179" s="22">
        <v>20</v>
      </c>
      <c r="E179" s="23">
        <v>30</v>
      </c>
      <c r="F179" s="23">
        <v>0</v>
      </c>
      <c r="G179" s="23">
        <v>0</v>
      </c>
      <c r="H179" s="23">
        <v>0</v>
      </c>
      <c r="I179" s="25" t="s">
        <v>1085</v>
      </c>
    </row>
    <row r="180" spans="1:9" ht="13.5" x14ac:dyDescent="0.2">
      <c r="A180" s="20">
        <v>179</v>
      </c>
      <c r="B180" s="20" t="s">
        <v>511</v>
      </c>
      <c r="C180" s="21">
        <v>16</v>
      </c>
      <c r="D180" s="22">
        <v>20</v>
      </c>
      <c r="E180" s="23">
        <v>34</v>
      </c>
      <c r="F180" s="23">
        <v>0</v>
      </c>
      <c r="G180" s="23">
        <v>0</v>
      </c>
      <c r="H180" s="23">
        <v>0</v>
      </c>
      <c r="I180" s="25" t="s">
        <v>1089</v>
      </c>
    </row>
    <row r="181" spans="1:9" ht="13.5" x14ac:dyDescent="0.2">
      <c r="A181" s="20">
        <v>180</v>
      </c>
      <c r="B181" s="20" t="s">
        <v>415</v>
      </c>
      <c r="C181" s="21">
        <v>16</v>
      </c>
      <c r="D181" s="22">
        <v>20</v>
      </c>
      <c r="E181" s="23">
        <v>34</v>
      </c>
      <c r="F181" s="23">
        <v>0</v>
      </c>
      <c r="G181" s="23">
        <v>0</v>
      </c>
      <c r="H181" s="23">
        <v>0</v>
      </c>
      <c r="I181" s="25" t="s">
        <v>1089</v>
      </c>
    </row>
    <row r="182" spans="1:9" ht="13.5" x14ac:dyDescent="0.2">
      <c r="A182" s="20">
        <v>181</v>
      </c>
      <c r="B182" s="20" t="s">
        <v>671</v>
      </c>
      <c r="C182" s="21">
        <v>14.5</v>
      </c>
      <c r="D182" s="22">
        <v>20</v>
      </c>
      <c r="E182" s="23">
        <v>31</v>
      </c>
      <c r="F182" s="23">
        <v>0</v>
      </c>
      <c r="G182" s="23">
        <v>0</v>
      </c>
      <c r="H182" s="23">
        <v>0</v>
      </c>
      <c r="I182" s="25" t="s">
        <v>1090</v>
      </c>
    </row>
    <row r="183" spans="1:9" ht="13.5" x14ac:dyDescent="0.2">
      <c r="A183" s="20">
        <v>182</v>
      </c>
      <c r="B183" s="20" t="s">
        <v>376</v>
      </c>
      <c r="C183" s="21">
        <v>1.5</v>
      </c>
      <c r="D183" s="22">
        <v>20</v>
      </c>
      <c r="E183" s="23">
        <v>7</v>
      </c>
      <c r="F183" s="23">
        <v>14</v>
      </c>
      <c r="G183" s="23">
        <v>0</v>
      </c>
      <c r="H183" s="23">
        <v>0</v>
      </c>
      <c r="I183" s="25" t="s">
        <v>1091</v>
      </c>
    </row>
    <row r="184" spans="1:9" ht="13.5" x14ac:dyDescent="0.2">
      <c r="A184" s="20">
        <v>183</v>
      </c>
      <c r="B184" s="20" t="s">
        <v>277</v>
      </c>
      <c r="C184" s="21">
        <v>2</v>
      </c>
      <c r="D184" s="22">
        <v>20</v>
      </c>
      <c r="E184" s="23">
        <v>8</v>
      </c>
      <c r="F184" s="23">
        <v>16</v>
      </c>
      <c r="G184" s="23">
        <v>0</v>
      </c>
      <c r="H184" s="23">
        <v>0</v>
      </c>
      <c r="I184" s="25" t="s">
        <v>1092</v>
      </c>
    </row>
    <row r="185" spans="1:9" ht="13.5" x14ac:dyDescent="0.2">
      <c r="A185" s="20">
        <v>184</v>
      </c>
      <c r="B185" s="20" t="s">
        <v>676</v>
      </c>
      <c r="C185" s="21">
        <v>5</v>
      </c>
      <c r="D185" s="22">
        <v>20</v>
      </c>
      <c r="E185" s="23">
        <v>15</v>
      </c>
      <c r="F185" s="23">
        <v>10</v>
      </c>
      <c r="G185" s="23">
        <v>0</v>
      </c>
      <c r="H185" s="23">
        <v>0</v>
      </c>
      <c r="I185" s="25" t="s">
        <v>1093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E5DAB-D41C-4344-B1E0-9A4952CF4402}">
  <sheetPr codeName="Sheet9">
    <tabColor rgb="FFFFFF00"/>
  </sheetPr>
  <dimension ref="A1:X223"/>
  <sheetViews>
    <sheetView workbookViewId="0">
      <selection activeCell="C34" sqref="C34"/>
    </sheetView>
  </sheetViews>
  <sheetFormatPr defaultColWidth="15.7109375" defaultRowHeight="12.75" x14ac:dyDescent="0.2"/>
  <cols>
    <col min="1" max="1" width="30.5703125" bestFit="1" customWidth="1"/>
    <col min="2" max="2" width="30.85546875" bestFit="1" customWidth="1"/>
    <col min="3" max="3" width="12.7109375" bestFit="1" customWidth="1"/>
    <col min="4" max="4" width="13.5703125" bestFit="1" customWidth="1"/>
    <col min="5" max="5" width="8.140625" bestFit="1" customWidth="1"/>
    <col min="6" max="6" width="12.5703125" bestFit="1" customWidth="1"/>
    <col min="7" max="7" width="18.42578125" bestFit="1" customWidth="1"/>
    <col min="8" max="8" width="15" bestFit="1" customWidth="1"/>
    <col min="9" max="9" width="16.42578125" bestFit="1" customWidth="1"/>
    <col min="10" max="10" width="12.5703125" bestFit="1" customWidth="1"/>
    <col min="11" max="11" width="14.5703125" bestFit="1" customWidth="1"/>
    <col min="12" max="12" width="12" bestFit="1" customWidth="1"/>
    <col min="13" max="13" width="18.7109375" bestFit="1" customWidth="1"/>
    <col min="14" max="14" width="12" bestFit="1" customWidth="1"/>
    <col min="15" max="15" width="15.85546875" bestFit="1" customWidth="1"/>
    <col min="17" max="17" width="16.85546875" bestFit="1" customWidth="1"/>
    <col min="18" max="18" width="15" bestFit="1" customWidth="1"/>
    <col min="19" max="19" width="16" bestFit="1" customWidth="1"/>
    <col min="20" max="20" width="14.140625" bestFit="1" customWidth="1"/>
    <col min="21" max="21" width="14" bestFit="1" customWidth="1"/>
    <col min="22" max="22" width="12.7109375" bestFit="1" customWidth="1"/>
    <col min="23" max="23" width="9.140625" bestFit="1" customWidth="1"/>
    <col min="24" max="24" width="15.28515625" bestFit="1" customWidth="1"/>
  </cols>
  <sheetData>
    <row r="1" spans="1:24" ht="15" x14ac:dyDescent="0.25">
      <c r="A1" s="6" t="s">
        <v>1107</v>
      </c>
      <c r="B1" s="6" t="s">
        <v>767</v>
      </c>
      <c r="C1" s="6" t="s">
        <v>937</v>
      </c>
      <c r="D1" s="6" t="s">
        <v>5</v>
      </c>
      <c r="E1" s="6" t="s">
        <v>951</v>
      </c>
      <c r="F1" s="16" t="s">
        <v>952</v>
      </c>
      <c r="G1" s="6" t="s">
        <v>584</v>
      </c>
      <c r="H1" s="16" t="s">
        <v>947</v>
      </c>
      <c r="I1" s="6" t="s">
        <v>588</v>
      </c>
      <c r="J1" s="16" t="s">
        <v>948</v>
      </c>
      <c r="K1" s="6" t="s">
        <v>589</v>
      </c>
      <c r="L1" s="16" t="s">
        <v>949</v>
      </c>
      <c r="M1" s="6" t="s">
        <v>651</v>
      </c>
      <c r="N1" s="16" t="s">
        <v>950</v>
      </c>
      <c r="O1" s="6" t="s">
        <v>585</v>
      </c>
      <c r="P1" s="6" t="s">
        <v>586</v>
      </c>
      <c r="Q1" s="6" t="s">
        <v>587</v>
      </c>
      <c r="R1" s="6" t="s">
        <v>590</v>
      </c>
      <c r="S1" s="6" t="s">
        <v>591</v>
      </c>
      <c r="T1" s="6" t="s">
        <v>592</v>
      </c>
      <c r="U1" s="6" t="s">
        <v>593</v>
      </c>
      <c r="V1" s="6" t="s">
        <v>937</v>
      </c>
      <c r="W1" s="6" t="s">
        <v>936</v>
      </c>
      <c r="X1" s="6" t="s">
        <v>766</v>
      </c>
    </row>
    <row r="2" spans="1:24" ht="15" x14ac:dyDescent="0.25">
      <c r="A2" s="4" t="s">
        <v>1104</v>
      </c>
      <c r="B2" s="4" t="s">
        <v>1104</v>
      </c>
      <c r="C2" s="4" t="s">
        <v>640</v>
      </c>
      <c r="D2" s="4">
        <v>0</v>
      </c>
      <c r="E2" s="4">
        <v>0</v>
      </c>
      <c r="F2" s="4">
        <v>0</v>
      </c>
      <c r="G2" s="4">
        <v>0</v>
      </c>
      <c r="H2" s="4">
        <v>0</v>
      </c>
      <c r="I2" s="4">
        <v>0</v>
      </c>
      <c r="J2" s="4">
        <v>0</v>
      </c>
      <c r="K2" s="4">
        <v>0</v>
      </c>
      <c r="L2" s="4">
        <v>0</v>
      </c>
      <c r="M2" s="4">
        <v>0</v>
      </c>
      <c r="N2" s="4">
        <v>0</v>
      </c>
      <c r="O2" s="4">
        <v>0</v>
      </c>
      <c r="P2" s="4">
        <v>0</v>
      </c>
      <c r="Q2" s="4">
        <v>0</v>
      </c>
      <c r="R2" s="4">
        <v>0</v>
      </c>
      <c r="S2" s="4">
        <v>0</v>
      </c>
      <c r="T2" s="4">
        <v>0</v>
      </c>
      <c r="U2" s="4">
        <v>0</v>
      </c>
      <c r="V2" s="4">
        <v>0</v>
      </c>
      <c r="W2" s="4">
        <v>0</v>
      </c>
      <c r="X2" s="7" t="s">
        <v>935</v>
      </c>
    </row>
    <row r="3" spans="1:24" ht="15" x14ac:dyDescent="0.25">
      <c r="A3" s="4" t="s">
        <v>1104</v>
      </c>
      <c r="B3" s="4" t="s">
        <v>1104</v>
      </c>
      <c r="C3" s="4" t="s">
        <v>639</v>
      </c>
      <c r="D3" s="4">
        <v>0</v>
      </c>
      <c r="E3" s="4">
        <v>0</v>
      </c>
      <c r="F3" s="4">
        <v>0</v>
      </c>
      <c r="G3" s="4">
        <v>0</v>
      </c>
      <c r="H3" s="4">
        <v>0</v>
      </c>
      <c r="I3" s="4">
        <v>0</v>
      </c>
      <c r="J3" s="4">
        <v>0</v>
      </c>
      <c r="K3" s="4">
        <v>0</v>
      </c>
      <c r="L3" s="4">
        <v>0</v>
      </c>
      <c r="M3" s="4">
        <v>0</v>
      </c>
      <c r="N3" s="4">
        <v>0</v>
      </c>
      <c r="O3" s="4">
        <v>0</v>
      </c>
      <c r="P3" s="4">
        <v>0</v>
      </c>
      <c r="Q3" s="4">
        <v>0</v>
      </c>
      <c r="R3" s="4">
        <v>0</v>
      </c>
      <c r="S3" s="4">
        <v>0</v>
      </c>
      <c r="T3" s="4">
        <v>0</v>
      </c>
      <c r="U3" s="4">
        <v>0</v>
      </c>
      <c r="V3" s="4">
        <v>0</v>
      </c>
      <c r="W3" s="4">
        <v>0</v>
      </c>
      <c r="X3" s="7" t="s">
        <v>935</v>
      </c>
    </row>
    <row r="4" spans="1:24" ht="15" x14ac:dyDescent="0.25">
      <c r="A4" s="4" t="s">
        <v>1104</v>
      </c>
      <c r="B4" s="4" t="s">
        <v>1104</v>
      </c>
      <c r="C4" s="4" t="s">
        <v>938</v>
      </c>
      <c r="D4" s="4">
        <v>0</v>
      </c>
      <c r="E4" s="4">
        <v>0</v>
      </c>
      <c r="F4" s="4">
        <v>0</v>
      </c>
      <c r="G4" s="4">
        <v>0</v>
      </c>
      <c r="H4" s="4">
        <v>0</v>
      </c>
      <c r="I4" s="4">
        <v>0</v>
      </c>
      <c r="J4" s="4">
        <v>0</v>
      </c>
      <c r="K4" s="4">
        <v>0</v>
      </c>
      <c r="L4" s="4">
        <v>0</v>
      </c>
      <c r="M4" s="4">
        <v>0</v>
      </c>
      <c r="N4" s="4">
        <v>0</v>
      </c>
      <c r="O4" s="4">
        <v>0</v>
      </c>
      <c r="P4" s="4">
        <v>0</v>
      </c>
      <c r="Q4" s="4">
        <v>0</v>
      </c>
      <c r="R4" s="4">
        <v>0</v>
      </c>
      <c r="S4" s="4">
        <v>0</v>
      </c>
      <c r="T4" s="4">
        <v>0</v>
      </c>
      <c r="U4" s="4">
        <v>0</v>
      </c>
      <c r="V4" s="4">
        <v>0</v>
      </c>
      <c r="W4" s="4">
        <v>0</v>
      </c>
      <c r="X4" s="7" t="s">
        <v>935</v>
      </c>
    </row>
    <row r="5" spans="1:24" ht="15" x14ac:dyDescent="0.25">
      <c r="A5" s="4" t="s">
        <v>1104</v>
      </c>
      <c r="B5" s="4" t="s">
        <v>1104</v>
      </c>
      <c r="C5" s="4" t="s">
        <v>594</v>
      </c>
      <c r="D5" s="4">
        <v>0</v>
      </c>
      <c r="E5" s="4">
        <v>0</v>
      </c>
      <c r="F5" s="4">
        <v>0</v>
      </c>
      <c r="G5" s="4">
        <v>0</v>
      </c>
      <c r="H5" s="4">
        <v>0</v>
      </c>
      <c r="I5" s="4">
        <v>0</v>
      </c>
      <c r="J5" s="4">
        <v>0</v>
      </c>
      <c r="K5" s="4">
        <v>0</v>
      </c>
      <c r="L5" s="4">
        <v>0</v>
      </c>
      <c r="M5" s="4">
        <v>0</v>
      </c>
      <c r="N5" s="4">
        <v>0</v>
      </c>
      <c r="O5" s="4">
        <v>0</v>
      </c>
      <c r="P5" s="4">
        <v>0</v>
      </c>
      <c r="Q5" s="4">
        <v>0</v>
      </c>
      <c r="R5" s="4">
        <v>0</v>
      </c>
      <c r="S5" s="4">
        <v>0</v>
      </c>
      <c r="T5" s="4">
        <v>0</v>
      </c>
      <c r="U5" s="4">
        <v>0</v>
      </c>
      <c r="V5" s="4">
        <v>0</v>
      </c>
      <c r="W5" s="4">
        <v>0</v>
      </c>
      <c r="X5" s="7" t="s">
        <v>935</v>
      </c>
    </row>
    <row r="6" spans="1:24" ht="15" x14ac:dyDescent="0.25">
      <c r="A6" s="4" t="s">
        <v>634</v>
      </c>
      <c r="B6" s="4" t="s">
        <v>634</v>
      </c>
      <c r="C6" s="4" t="s">
        <v>640</v>
      </c>
      <c r="D6" s="4">
        <v>2.8</v>
      </c>
      <c r="E6" s="4">
        <v>0</v>
      </c>
      <c r="F6" s="4">
        <v>0</v>
      </c>
      <c r="G6" s="4">
        <v>15</v>
      </c>
      <c r="H6" s="4">
        <v>5.3571428571428577</v>
      </c>
      <c r="I6" s="4">
        <v>15</v>
      </c>
      <c r="J6" s="4">
        <v>5.3571428571428577</v>
      </c>
      <c r="K6" s="4">
        <v>19</v>
      </c>
      <c r="L6" s="4">
        <v>6.7857142857142865</v>
      </c>
      <c r="M6" s="4">
        <v>19</v>
      </c>
      <c r="N6" s="4">
        <v>6.7857142857142865</v>
      </c>
      <c r="O6" s="4">
        <v>17.25</v>
      </c>
      <c r="P6" s="4">
        <v>16.2</v>
      </c>
      <c r="Q6" s="4">
        <v>13.8</v>
      </c>
      <c r="R6" s="4">
        <v>15</v>
      </c>
      <c r="S6" s="4">
        <v>15</v>
      </c>
      <c r="T6" s="4">
        <v>15</v>
      </c>
      <c r="U6" s="4">
        <v>15</v>
      </c>
      <c r="V6" s="4" t="s">
        <v>640</v>
      </c>
      <c r="W6" s="4">
        <v>36</v>
      </c>
      <c r="X6" s="7" t="s">
        <v>935</v>
      </c>
    </row>
    <row r="7" spans="1:24" ht="15" x14ac:dyDescent="0.25">
      <c r="A7" s="4" t="s">
        <v>347</v>
      </c>
      <c r="B7" s="4" t="s">
        <v>822</v>
      </c>
      <c r="C7" s="4" t="s">
        <v>639</v>
      </c>
      <c r="D7" s="4">
        <v>1</v>
      </c>
      <c r="E7" s="4">
        <v>0</v>
      </c>
      <c r="F7" s="4">
        <v>0</v>
      </c>
      <c r="G7" s="4">
        <v>21.7</v>
      </c>
      <c r="H7" s="4">
        <v>21.7</v>
      </c>
      <c r="I7" s="4">
        <v>51.15</v>
      </c>
      <c r="J7" s="4">
        <v>51.15</v>
      </c>
      <c r="K7" s="4">
        <v>9.3000000000000007</v>
      </c>
      <c r="L7" s="4">
        <v>9.3000000000000007</v>
      </c>
      <c r="M7" s="4">
        <v>29.45</v>
      </c>
      <c r="N7" s="4">
        <v>29.45</v>
      </c>
      <c r="O7" s="4">
        <v>21.7</v>
      </c>
      <c r="P7" s="4">
        <v>21.7</v>
      </c>
      <c r="Q7" s="4">
        <v>21.7</v>
      </c>
      <c r="R7" s="4">
        <v>27.559000000000001</v>
      </c>
      <c r="S7" s="4">
        <v>27.559000000000001</v>
      </c>
      <c r="T7" s="4">
        <v>27.559000000000001</v>
      </c>
      <c r="U7" s="4">
        <v>27.559000000000001</v>
      </c>
      <c r="V7" s="4" t="s">
        <v>639</v>
      </c>
      <c r="W7" s="4">
        <v>124</v>
      </c>
      <c r="X7" s="7" t="s">
        <v>649</v>
      </c>
    </row>
    <row r="8" spans="1:24" ht="15" x14ac:dyDescent="0.25">
      <c r="A8" s="4" t="s">
        <v>348</v>
      </c>
      <c r="B8" s="4" t="s">
        <v>778</v>
      </c>
      <c r="C8" s="4" t="s">
        <v>938</v>
      </c>
      <c r="D8" s="4">
        <v>0.6</v>
      </c>
      <c r="E8" s="4">
        <v>0</v>
      </c>
      <c r="F8" s="4">
        <v>0</v>
      </c>
      <c r="G8" s="4">
        <v>12.4</v>
      </c>
      <c r="H8" s="4">
        <v>20.666666666666668</v>
      </c>
      <c r="I8" s="4">
        <v>29.45</v>
      </c>
      <c r="J8" s="4">
        <v>49.083333333333336</v>
      </c>
      <c r="K8" s="4">
        <v>4.6500000000000004</v>
      </c>
      <c r="L8" s="4">
        <v>7.7500000000000009</v>
      </c>
      <c r="M8" s="4">
        <v>17.05</v>
      </c>
      <c r="N8" s="4">
        <v>28.416666666666668</v>
      </c>
      <c r="O8" s="4">
        <v>12.4</v>
      </c>
      <c r="P8" s="4">
        <v>12.4</v>
      </c>
      <c r="Q8" s="4">
        <v>12.4</v>
      </c>
      <c r="R8" s="4">
        <v>15.748000000000001</v>
      </c>
      <c r="S8" s="4">
        <v>15.748000000000001</v>
      </c>
      <c r="T8" s="4">
        <v>15.748000000000001</v>
      </c>
      <c r="U8" s="4">
        <v>15.748000000000001</v>
      </c>
      <c r="V8" s="4" t="s">
        <v>938</v>
      </c>
      <c r="W8" s="4">
        <v>123</v>
      </c>
      <c r="X8" s="7" t="s">
        <v>649</v>
      </c>
    </row>
    <row r="9" spans="1:24" ht="15" x14ac:dyDescent="0.25">
      <c r="A9" s="4" t="s">
        <v>349</v>
      </c>
      <c r="B9" s="4" t="s">
        <v>836</v>
      </c>
      <c r="C9" s="4" t="s">
        <v>640</v>
      </c>
      <c r="D9" s="4">
        <v>3</v>
      </c>
      <c r="E9" s="4">
        <v>0</v>
      </c>
      <c r="F9" s="4">
        <v>0</v>
      </c>
      <c r="G9" s="4">
        <v>23.25</v>
      </c>
      <c r="H9" s="4">
        <v>7.75</v>
      </c>
      <c r="I9" s="4">
        <v>54.25</v>
      </c>
      <c r="J9" s="4">
        <v>18.083333333333332</v>
      </c>
      <c r="K9" s="4">
        <v>26.35</v>
      </c>
      <c r="L9" s="4">
        <v>8.7833333333333332</v>
      </c>
      <c r="M9" s="4">
        <v>32.550000000000004</v>
      </c>
      <c r="N9" s="4">
        <v>10.850000000000001</v>
      </c>
      <c r="O9" s="4">
        <v>23.25</v>
      </c>
      <c r="P9" s="4">
        <v>23.25</v>
      </c>
      <c r="Q9" s="4">
        <v>23.25</v>
      </c>
      <c r="R9" s="4">
        <v>29.5275</v>
      </c>
      <c r="S9" s="4">
        <v>29.5275</v>
      </c>
      <c r="T9" s="4">
        <v>29.5275</v>
      </c>
      <c r="U9" s="4">
        <v>29.5275</v>
      </c>
      <c r="V9" s="4" t="s">
        <v>640</v>
      </c>
      <c r="W9" s="4">
        <v>122</v>
      </c>
      <c r="X9" s="7" t="s">
        <v>649</v>
      </c>
    </row>
    <row r="10" spans="1:24" ht="15" x14ac:dyDescent="0.25">
      <c r="A10" s="4" t="s">
        <v>604</v>
      </c>
      <c r="B10" s="4" t="s">
        <v>604</v>
      </c>
      <c r="C10" s="4" t="s">
        <v>639</v>
      </c>
      <c r="D10" s="4">
        <v>13.3</v>
      </c>
      <c r="E10" s="4">
        <v>20</v>
      </c>
      <c r="F10" s="4">
        <v>1.5037593984962405</v>
      </c>
      <c r="G10" s="4">
        <v>47</v>
      </c>
      <c r="H10" s="4">
        <v>3.5338345864661651</v>
      </c>
      <c r="I10" s="4">
        <v>31</v>
      </c>
      <c r="J10" s="4">
        <v>2.3308270676691727</v>
      </c>
      <c r="K10" s="4">
        <v>34</v>
      </c>
      <c r="L10" s="4">
        <v>2.5563909774436091</v>
      </c>
      <c r="M10" s="4">
        <v>25</v>
      </c>
      <c r="N10" s="4">
        <v>1.8796992481203008</v>
      </c>
      <c r="O10" s="4">
        <v>54.05</v>
      </c>
      <c r="P10" s="4">
        <v>44.65</v>
      </c>
      <c r="Q10" s="4">
        <v>47</v>
      </c>
      <c r="R10" s="4">
        <v>47</v>
      </c>
      <c r="S10" s="4">
        <v>47</v>
      </c>
      <c r="T10" s="4">
        <v>47</v>
      </c>
      <c r="U10" s="4">
        <v>47</v>
      </c>
      <c r="V10" s="4" t="s">
        <v>639</v>
      </c>
      <c r="W10" s="4">
        <v>150</v>
      </c>
      <c r="X10" s="7" t="s">
        <v>935</v>
      </c>
    </row>
    <row r="11" spans="1:24" ht="15" x14ac:dyDescent="0.25">
      <c r="A11" s="4" t="s">
        <v>261</v>
      </c>
      <c r="B11" s="4" t="s">
        <v>912</v>
      </c>
      <c r="C11" s="4" t="s">
        <v>639</v>
      </c>
      <c r="D11" s="4">
        <v>9</v>
      </c>
      <c r="E11" s="4">
        <v>16</v>
      </c>
      <c r="F11" s="4">
        <v>1.7777777777777777</v>
      </c>
      <c r="G11" s="4">
        <v>84.7</v>
      </c>
      <c r="H11" s="4">
        <v>9.4111111111111114</v>
      </c>
      <c r="I11" s="4">
        <v>50.82</v>
      </c>
      <c r="J11" s="4">
        <v>5.6466666666666665</v>
      </c>
      <c r="K11" s="4">
        <v>50.82</v>
      </c>
      <c r="L11" s="4">
        <v>5.6466666666666665</v>
      </c>
      <c r="M11" s="4">
        <v>45.98</v>
      </c>
      <c r="N11" s="4">
        <v>5.1088888888888881</v>
      </c>
      <c r="O11" s="4">
        <v>84.7</v>
      </c>
      <c r="P11" s="4">
        <v>84.7</v>
      </c>
      <c r="Q11" s="4">
        <v>83.006</v>
      </c>
      <c r="R11" s="4">
        <v>118.58</v>
      </c>
      <c r="S11" s="4">
        <v>118.58</v>
      </c>
      <c r="T11" s="4">
        <v>118.58</v>
      </c>
      <c r="U11" s="4">
        <v>118.58</v>
      </c>
      <c r="V11" s="4" t="s">
        <v>639</v>
      </c>
      <c r="W11" s="4">
        <v>158</v>
      </c>
      <c r="X11" s="7" t="s">
        <v>647</v>
      </c>
    </row>
    <row r="12" spans="1:24" ht="15" x14ac:dyDescent="0.25">
      <c r="A12" s="4" t="s">
        <v>395</v>
      </c>
      <c r="B12" s="4" t="s">
        <v>924</v>
      </c>
      <c r="C12" s="4" t="s">
        <v>639</v>
      </c>
      <c r="D12" s="4">
        <v>10.5</v>
      </c>
      <c r="E12" s="4">
        <v>16</v>
      </c>
      <c r="F12" s="4">
        <v>1.5238095238095237</v>
      </c>
      <c r="G12" s="4">
        <v>69.75</v>
      </c>
      <c r="H12" s="4">
        <v>6.6428571428571432</v>
      </c>
      <c r="I12" s="4">
        <v>43.4</v>
      </c>
      <c r="J12" s="4">
        <v>4.1333333333333329</v>
      </c>
      <c r="K12" s="4">
        <v>51.15</v>
      </c>
      <c r="L12" s="4">
        <v>4.871428571428571</v>
      </c>
      <c r="M12" s="4">
        <v>31</v>
      </c>
      <c r="N12" s="4">
        <v>2.9523809523809526</v>
      </c>
      <c r="O12" s="4">
        <v>76.027500000000003</v>
      </c>
      <c r="P12" s="4">
        <v>66.262500000000003</v>
      </c>
      <c r="Q12" s="4">
        <v>69.75</v>
      </c>
      <c r="R12" s="4">
        <v>88.582499999999996</v>
      </c>
      <c r="S12" s="4">
        <v>88.582499999999996</v>
      </c>
      <c r="T12" s="4">
        <v>88.582499999999996</v>
      </c>
      <c r="U12" s="4">
        <v>88.582499999999996</v>
      </c>
      <c r="V12" s="4" t="s">
        <v>639</v>
      </c>
      <c r="W12" s="4">
        <v>30</v>
      </c>
      <c r="X12" s="7" t="s">
        <v>649</v>
      </c>
    </row>
    <row r="13" spans="1:24" ht="15" x14ac:dyDescent="0.25">
      <c r="A13" s="4" t="s">
        <v>532</v>
      </c>
      <c r="B13" s="4" t="s">
        <v>913</v>
      </c>
      <c r="C13" s="4" t="s">
        <v>639</v>
      </c>
      <c r="D13" s="4">
        <v>10.9</v>
      </c>
      <c r="E13" s="4">
        <v>16</v>
      </c>
      <c r="F13" s="4">
        <v>1.4678899082568806</v>
      </c>
      <c r="G13" s="4">
        <v>89.539999999999992</v>
      </c>
      <c r="H13" s="4">
        <v>8.2146788990825677</v>
      </c>
      <c r="I13" s="4">
        <v>36.299999999999997</v>
      </c>
      <c r="J13" s="4">
        <v>3.330275229357798</v>
      </c>
      <c r="K13" s="4">
        <v>43.56</v>
      </c>
      <c r="L13" s="4">
        <v>3.9963302752293579</v>
      </c>
      <c r="M13" s="4">
        <v>36.299999999999997</v>
      </c>
      <c r="N13" s="4">
        <v>3.330275229357798</v>
      </c>
      <c r="O13" s="4">
        <v>109.2388</v>
      </c>
      <c r="P13" s="4">
        <v>87.749199999999988</v>
      </c>
      <c r="Q13" s="4">
        <v>85.958399999999997</v>
      </c>
      <c r="R13" s="4">
        <v>125.35599999999998</v>
      </c>
      <c r="S13" s="4">
        <v>125.35599999999998</v>
      </c>
      <c r="T13" s="4">
        <v>125.35599999999998</v>
      </c>
      <c r="U13" s="4">
        <v>125.35599999999998</v>
      </c>
      <c r="V13" s="4" t="s">
        <v>639</v>
      </c>
      <c r="W13" s="4">
        <v>87</v>
      </c>
      <c r="X13" s="7" t="s">
        <v>647</v>
      </c>
    </row>
    <row r="14" spans="1:24" ht="15" x14ac:dyDescent="0.25">
      <c r="A14" s="4" t="s">
        <v>533</v>
      </c>
      <c r="B14" s="4" t="s">
        <v>846</v>
      </c>
      <c r="C14" s="4" t="s">
        <v>938</v>
      </c>
      <c r="D14" s="4">
        <v>3.5</v>
      </c>
      <c r="E14" s="4">
        <v>5</v>
      </c>
      <c r="F14" s="4">
        <v>1.4285714285714286</v>
      </c>
      <c r="G14" s="4">
        <v>41.14</v>
      </c>
      <c r="H14" s="4">
        <v>11.754285714285714</v>
      </c>
      <c r="I14" s="4">
        <v>16.939999999999998</v>
      </c>
      <c r="J14" s="4">
        <v>4.839999999999999</v>
      </c>
      <c r="K14" s="4">
        <v>19.36</v>
      </c>
      <c r="L14" s="4">
        <v>5.5314285714285711</v>
      </c>
      <c r="M14" s="4">
        <v>12.1</v>
      </c>
      <c r="N14" s="4">
        <v>3.4571428571428569</v>
      </c>
      <c r="O14" s="4">
        <v>50.190800000000003</v>
      </c>
      <c r="P14" s="4">
        <v>40.3172</v>
      </c>
      <c r="Q14" s="4">
        <v>39.494399999999999</v>
      </c>
      <c r="R14" s="4">
        <v>57.595999999999997</v>
      </c>
      <c r="S14" s="4">
        <v>57.595999999999997</v>
      </c>
      <c r="T14" s="4">
        <v>57.595999999999997</v>
      </c>
      <c r="U14" s="4">
        <v>57.595999999999997</v>
      </c>
      <c r="V14" s="4" t="s">
        <v>938</v>
      </c>
      <c r="W14" s="4">
        <v>86</v>
      </c>
      <c r="X14" s="7" t="s">
        <v>647</v>
      </c>
    </row>
    <row r="15" spans="1:24" ht="15" x14ac:dyDescent="0.25">
      <c r="A15" s="4" t="s">
        <v>531</v>
      </c>
      <c r="B15" s="4" t="s">
        <v>824</v>
      </c>
      <c r="C15" s="4" t="s">
        <v>594</v>
      </c>
      <c r="D15" s="4">
        <v>4.2</v>
      </c>
      <c r="E15" s="4">
        <v>6</v>
      </c>
      <c r="F15" s="4">
        <v>1.4285714285714286</v>
      </c>
      <c r="G15" s="4">
        <v>33.879999999999995</v>
      </c>
      <c r="H15" s="4">
        <v>8.0666666666666647</v>
      </c>
      <c r="I15" s="4">
        <v>14.52</v>
      </c>
      <c r="J15" s="4">
        <v>3.4571428571428569</v>
      </c>
      <c r="K15" s="4">
        <v>19.36</v>
      </c>
      <c r="L15" s="4">
        <v>4.6095238095238091</v>
      </c>
      <c r="M15" s="4">
        <v>14.52</v>
      </c>
      <c r="N15" s="4">
        <v>3.4571428571428569</v>
      </c>
      <c r="O15" s="4">
        <v>41.333599999999997</v>
      </c>
      <c r="P15" s="4">
        <v>33.202399999999997</v>
      </c>
      <c r="Q15" s="4">
        <v>32.524799999999999</v>
      </c>
      <c r="R15" s="4">
        <v>47.431999999999988</v>
      </c>
      <c r="S15" s="4">
        <v>47.431999999999988</v>
      </c>
      <c r="T15" s="4">
        <v>47.431999999999988</v>
      </c>
      <c r="U15" s="4">
        <v>47.431999999999988</v>
      </c>
      <c r="V15" s="4" t="s">
        <v>594</v>
      </c>
      <c r="W15" s="4">
        <v>88</v>
      </c>
      <c r="X15" s="7" t="s">
        <v>647</v>
      </c>
    </row>
    <row r="16" spans="1:24" ht="15" x14ac:dyDescent="0.25">
      <c r="A16" s="4" t="s">
        <v>534</v>
      </c>
      <c r="B16" s="4" t="s">
        <v>868</v>
      </c>
      <c r="C16" s="4" t="s">
        <v>640</v>
      </c>
      <c r="D16" s="4">
        <v>6.4</v>
      </c>
      <c r="E16" s="4">
        <v>9</v>
      </c>
      <c r="F16" s="4">
        <v>1.40625</v>
      </c>
      <c r="G16" s="4">
        <v>53.239999999999995</v>
      </c>
      <c r="H16" s="4">
        <v>8.3187499999999979</v>
      </c>
      <c r="I16" s="4">
        <v>24.2</v>
      </c>
      <c r="J16" s="4">
        <v>3.7812499999999996</v>
      </c>
      <c r="K16" s="4">
        <v>29.04</v>
      </c>
      <c r="L16" s="4">
        <v>4.5374999999999996</v>
      </c>
      <c r="M16" s="4">
        <v>21.78</v>
      </c>
      <c r="N16" s="4">
        <v>3.4031250000000002</v>
      </c>
      <c r="O16" s="4">
        <v>64.952799999999996</v>
      </c>
      <c r="P16" s="4">
        <v>52.175199999999997</v>
      </c>
      <c r="Q16" s="4">
        <v>51.110399999999998</v>
      </c>
      <c r="R16" s="4">
        <v>74.535999999999987</v>
      </c>
      <c r="S16" s="4">
        <v>74.535999999999987</v>
      </c>
      <c r="T16" s="4">
        <v>74.535999999999987</v>
      </c>
      <c r="U16" s="4">
        <v>74.535999999999987</v>
      </c>
      <c r="V16" s="4" t="s">
        <v>640</v>
      </c>
      <c r="W16" s="4">
        <v>85</v>
      </c>
      <c r="X16" s="7" t="s">
        <v>647</v>
      </c>
    </row>
    <row r="17" spans="1:24" ht="15" x14ac:dyDescent="0.25">
      <c r="A17" s="4" t="s">
        <v>281</v>
      </c>
      <c r="B17" s="4" t="s">
        <v>823</v>
      </c>
      <c r="C17" s="4" t="s">
        <v>594</v>
      </c>
      <c r="D17" s="4">
        <v>3</v>
      </c>
      <c r="E17" s="4">
        <v>0</v>
      </c>
      <c r="F17" s="4">
        <v>0</v>
      </c>
      <c r="G17" s="4">
        <v>21.7</v>
      </c>
      <c r="H17" s="4">
        <v>7.2333333333333334</v>
      </c>
      <c r="I17" s="4">
        <v>66.650000000000006</v>
      </c>
      <c r="J17" s="4">
        <v>22.216666666666669</v>
      </c>
      <c r="K17" s="4">
        <v>10.85</v>
      </c>
      <c r="L17" s="4">
        <v>3.6166666666666667</v>
      </c>
      <c r="M17" s="4">
        <v>26.35</v>
      </c>
      <c r="N17" s="4">
        <v>8.7833333333333332</v>
      </c>
      <c r="O17" s="4">
        <v>23.869999999999997</v>
      </c>
      <c r="P17" s="4">
        <v>23.869999999999997</v>
      </c>
      <c r="Q17" s="4">
        <v>19.53</v>
      </c>
      <c r="R17" s="4">
        <v>27.559000000000001</v>
      </c>
      <c r="S17" s="4">
        <v>27.559000000000001</v>
      </c>
      <c r="T17" s="4">
        <v>27.559000000000001</v>
      </c>
      <c r="U17" s="4">
        <v>27.559000000000001</v>
      </c>
      <c r="V17" s="4" t="s">
        <v>594</v>
      </c>
      <c r="W17" s="4">
        <v>134</v>
      </c>
      <c r="X17" s="7" t="s">
        <v>649</v>
      </c>
    </row>
    <row r="18" spans="1:24" ht="15" x14ac:dyDescent="0.25">
      <c r="A18" s="4" t="s">
        <v>320</v>
      </c>
      <c r="B18" s="4" t="s">
        <v>872</v>
      </c>
      <c r="C18" s="4" t="s">
        <v>639</v>
      </c>
      <c r="D18" s="4">
        <v>3.9</v>
      </c>
      <c r="E18" s="4">
        <v>0</v>
      </c>
      <c r="F18" s="4">
        <v>0</v>
      </c>
      <c r="G18" s="4">
        <v>35.65</v>
      </c>
      <c r="H18" s="4">
        <v>9.1410256410256405</v>
      </c>
      <c r="I18" s="4">
        <v>44.95</v>
      </c>
      <c r="J18" s="4">
        <v>11.525641025641027</v>
      </c>
      <c r="K18" s="4">
        <v>38.75</v>
      </c>
      <c r="L18" s="4">
        <v>9.9358974358974361</v>
      </c>
      <c r="M18" s="4">
        <v>29.45</v>
      </c>
      <c r="N18" s="4">
        <v>7.5512820512820511</v>
      </c>
      <c r="O18" s="4">
        <v>35.65</v>
      </c>
      <c r="P18" s="4">
        <v>38.858499999999999</v>
      </c>
      <c r="Q18" s="4">
        <v>35.65</v>
      </c>
      <c r="R18" s="4">
        <v>45.275500000000001</v>
      </c>
      <c r="S18" s="4">
        <v>45.275500000000001</v>
      </c>
      <c r="T18" s="4">
        <v>45.275500000000001</v>
      </c>
      <c r="U18" s="4">
        <v>45.275500000000001</v>
      </c>
      <c r="V18" s="4" t="s">
        <v>639</v>
      </c>
      <c r="W18" s="4">
        <v>113</v>
      </c>
      <c r="X18" s="7" t="s">
        <v>649</v>
      </c>
    </row>
    <row r="19" spans="1:24" ht="15" x14ac:dyDescent="0.25">
      <c r="A19" s="4" t="s">
        <v>411</v>
      </c>
      <c r="B19" s="4" t="s">
        <v>933</v>
      </c>
      <c r="C19" s="4" t="s">
        <v>639</v>
      </c>
      <c r="D19" s="4">
        <v>15.6</v>
      </c>
      <c r="E19" s="4">
        <v>31</v>
      </c>
      <c r="F19" s="4">
        <v>1.9871794871794872</v>
      </c>
      <c r="G19" s="4">
        <v>105.4</v>
      </c>
      <c r="H19" s="4">
        <v>6.7564102564102573</v>
      </c>
      <c r="I19" s="4">
        <v>46.5</v>
      </c>
      <c r="J19" s="4">
        <v>2.9807692307692308</v>
      </c>
      <c r="K19" s="4">
        <v>79.05</v>
      </c>
      <c r="L19" s="4">
        <v>5.0673076923076925</v>
      </c>
      <c r="M19" s="4">
        <v>32.550000000000004</v>
      </c>
      <c r="N19" s="4">
        <v>2.0865384615384617</v>
      </c>
      <c r="O19" s="4">
        <v>121.21000000000001</v>
      </c>
      <c r="P19" s="4">
        <v>100.13000000000001</v>
      </c>
      <c r="Q19" s="4">
        <v>105.4</v>
      </c>
      <c r="R19" s="4">
        <v>133.858</v>
      </c>
      <c r="S19" s="4">
        <v>133.858</v>
      </c>
      <c r="T19" s="4">
        <v>133.858</v>
      </c>
      <c r="U19" s="4">
        <v>133.858</v>
      </c>
      <c r="V19" s="4" t="s">
        <v>639</v>
      </c>
      <c r="W19" s="4">
        <v>154</v>
      </c>
      <c r="X19" s="7" t="s">
        <v>649</v>
      </c>
    </row>
    <row r="20" spans="1:24" ht="15" x14ac:dyDescent="0.25">
      <c r="A20" s="4" t="s">
        <v>412</v>
      </c>
      <c r="B20" s="4" t="s">
        <v>917</v>
      </c>
      <c r="C20" s="4" t="s">
        <v>938</v>
      </c>
      <c r="D20" s="4">
        <v>9.1999999999999904</v>
      </c>
      <c r="E20" s="4">
        <v>18</v>
      </c>
      <c r="F20" s="4">
        <v>1.9565217391304368</v>
      </c>
      <c r="G20" s="4">
        <v>62</v>
      </c>
      <c r="H20" s="4">
        <v>6.7391304347826155</v>
      </c>
      <c r="I20" s="4">
        <v>26.35</v>
      </c>
      <c r="J20" s="4">
        <v>2.864130434782612</v>
      </c>
      <c r="K20" s="4">
        <v>46.5</v>
      </c>
      <c r="L20" s="4">
        <v>5.0543478260869614</v>
      </c>
      <c r="M20" s="4">
        <v>20.150000000000002</v>
      </c>
      <c r="N20" s="4">
        <v>2.1902173913043503</v>
      </c>
      <c r="O20" s="4">
        <v>71.3</v>
      </c>
      <c r="P20" s="4">
        <v>58.9</v>
      </c>
      <c r="Q20" s="4">
        <v>62</v>
      </c>
      <c r="R20" s="4">
        <v>78.739999999999995</v>
      </c>
      <c r="S20" s="4">
        <v>78.739999999999995</v>
      </c>
      <c r="T20" s="4">
        <v>78.739999999999995</v>
      </c>
      <c r="U20" s="4">
        <v>78.739999999999995</v>
      </c>
      <c r="V20" s="4" t="s">
        <v>938</v>
      </c>
      <c r="W20" s="4">
        <v>153</v>
      </c>
      <c r="X20" s="7" t="s">
        <v>649</v>
      </c>
    </row>
    <row r="21" spans="1:24" ht="15" x14ac:dyDescent="0.25">
      <c r="A21" s="4" t="s">
        <v>410</v>
      </c>
      <c r="B21" s="4" t="s">
        <v>898</v>
      </c>
      <c r="C21" s="4" t="s">
        <v>594</v>
      </c>
      <c r="D21" s="4">
        <v>6</v>
      </c>
      <c r="E21" s="4">
        <v>12</v>
      </c>
      <c r="F21" s="4">
        <v>2</v>
      </c>
      <c r="G21" s="4">
        <v>41.85</v>
      </c>
      <c r="H21" s="4">
        <v>6.9750000000000005</v>
      </c>
      <c r="I21" s="4">
        <v>17.05</v>
      </c>
      <c r="J21" s="4">
        <v>2.8416666666666668</v>
      </c>
      <c r="K21" s="4">
        <v>29.45</v>
      </c>
      <c r="L21" s="4">
        <v>4.9083333333333332</v>
      </c>
      <c r="M21" s="4">
        <v>12.4</v>
      </c>
      <c r="N21" s="4">
        <v>2.0666666666666669</v>
      </c>
      <c r="O21" s="4">
        <v>48.127499999999998</v>
      </c>
      <c r="P21" s="4">
        <v>39.7575</v>
      </c>
      <c r="Q21" s="4">
        <v>41.85</v>
      </c>
      <c r="R21" s="4">
        <v>53.149500000000003</v>
      </c>
      <c r="S21" s="4">
        <v>53.149500000000003</v>
      </c>
      <c r="T21" s="4">
        <v>53.149500000000003</v>
      </c>
      <c r="U21" s="4">
        <v>53.149500000000003</v>
      </c>
      <c r="V21" s="4" t="s">
        <v>594</v>
      </c>
      <c r="W21" s="4">
        <v>155</v>
      </c>
      <c r="X21" s="7" t="s">
        <v>649</v>
      </c>
    </row>
    <row r="22" spans="1:24" ht="15" x14ac:dyDescent="0.25">
      <c r="A22" s="4" t="s">
        <v>413</v>
      </c>
      <c r="B22" s="4" t="s">
        <v>916</v>
      </c>
      <c r="C22" s="4" t="s">
        <v>640</v>
      </c>
      <c r="D22" s="4">
        <v>9.1999999999999904</v>
      </c>
      <c r="E22" s="4">
        <v>18</v>
      </c>
      <c r="F22" s="4">
        <v>1.9565217391304368</v>
      </c>
      <c r="G22" s="4">
        <v>62</v>
      </c>
      <c r="H22" s="4">
        <v>6.7391304347826155</v>
      </c>
      <c r="I22" s="4">
        <v>26.35</v>
      </c>
      <c r="J22" s="4">
        <v>2.864130434782612</v>
      </c>
      <c r="K22" s="4">
        <v>46.5</v>
      </c>
      <c r="L22" s="4">
        <v>5.0543478260869614</v>
      </c>
      <c r="M22" s="4">
        <v>20.150000000000002</v>
      </c>
      <c r="N22" s="4">
        <v>2.1902173913043503</v>
      </c>
      <c r="O22" s="4">
        <v>71.3</v>
      </c>
      <c r="P22" s="4">
        <v>58.9</v>
      </c>
      <c r="Q22" s="4">
        <v>62</v>
      </c>
      <c r="R22" s="4">
        <v>78.739999999999995</v>
      </c>
      <c r="S22" s="4">
        <v>78.739999999999995</v>
      </c>
      <c r="T22" s="4">
        <v>78.739999999999995</v>
      </c>
      <c r="U22" s="4">
        <v>78.739999999999995</v>
      </c>
      <c r="V22" s="4" t="s">
        <v>640</v>
      </c>
      <c r="W22" s="4">
        <v>152</v>
      </c>
      <c r="X22" s="7" t="s">
        <v>649</v>
      </c>
    </row>
    <row r="23" spans="1:24" ht="15" x14ac:dyDescent="0.25">
      <c r="A23" s="4" t="s">
        <v>463</v>
      </c>
      <c r="B23" s="4" t="s">
        <v>930</v>
      </c>
      <c r="C23" s="4" t="s">
        <v>639</v>
      </c>
      <c r="D23" s="4">
        <v>13</v>
      </c>
      <c r="E23" s="4">
        <v>21</v>
      </c>
      <c r="F23" s="4">
        <v>1.6153846153846154</v>
      </c>
      <c r="G23" s="4">
        <v>88.350000000000009</v>
      </c>
      <c r="H23" s="4">
        <v>6.7961538461538469</v>
      </c>
      <c r="I23" s="4">
        <v>44.95</v>
      </c>
      <c r="J23" s="4">
        <v>3.4576923076923078</v>
      </c>
      <c r="K23" s="4">
        <v>74.400000000000006</v>
      </c>
      <c r="L23" s="4">
        <v>5.7230769230769232</v>
      </c>
      <c r="M23" s="4">
        <v>26.35</v>
      </c>
      <c r="N23" s="4">
        <v>2.0269230769230768</v>
      </c>
      <c r="O23" s="4">
        <v>99.83550000000001</v>
      </c>
      <c r="P23" s="4">
        <v>83.932500000000005</v>
      </c>
      <c r="Q23" s="4">
        <v>86.583000000000013</v>
      </c>
      <c r="R23" s="4">
        <v>112.20450000000001</v>
      </c>
      <c r="S23" s="4">
        <v>112.20450000000001</v>
      </c>
      <c r="T23" s="4">
        <v>112.20450000000001</v>
      </c>
      <c r="U23" s="4">
        <v>112.20450000000001</v>
      </c>
      <c r="V23" s="4" t="s">
        <v>639</v>
      </c>
      <c r="W23" s="4">
        <v>72</v>
      </c>
      <c r="X23" s="7" t="s">
        <v>649</v>
      </c>
    </row>
    <row r="24" spans="1:24" ht="15" x14ac:dyDescent="0.25">
      <c r="A24" s="4" t="s">
        <v>464</v>
      </c>
      <c r="B24" s="4" t="s">
        <v>891</v>
      </c>
      <c r="C24" s="4" t="s">
        <v>938</v>
      </c>
      <c r="D24" s="4">
        <v>6</v>
      </c>
      <c r="E24" s="4">
        <v>10</v>
      </c>
      <c r="F24" s="4">
        <v>1.6666666666666667</v>
      </c>
      <c r="G24" s="4">
        <v>40.300000000000004</v>
      </c>
      <c r="H24" s="4">
        <v>6.7166666666666677</v>
      </c>
      <c r="I24" s="4">
        <v>21.7</v>
      </c>
      <c r="J24" s="4">
        <v>3.6166666666666667</v>
      </c>
      <c r="K24" s="4">
        <v>35.65</v>
      </c>
      <c r="L24" s="4">
        <v>5.9416666666666664</v>
      </c>
      <c r="M24" s="4">
        <v>12.4</v>
      </c>
      <c r="N24" s="4">
        <v>2.0666666666666669</v>
      </c>
      <c r="O24" s="4">
        <v>45.539000000000001</v>
      </c>
      <c r="P24" s="4">
        <v>38.285000000000004</v>
      </c>
      <c r="Q24" s="4">
        <v>39.494000000000007</v>
      </c>
      <c r="R24" s="4">
        <v>51.181000000000004</v>
      </c>
      <c r="S24" s="4">
        <v>51.181000000000004</v>
      </c>
      <c r="T24" s="4">
        <v>51.181000000000004</v>
      </c>
      <c r="U24" s="4">
        <v>51.181000000000004</v>
      </c>
      <c r="V24" s="4" t="s">
        <v>938</v>
      </c>
      <c r="W24" s="4">
        <v>71</v>
      </c>
      <c r="X24" s="7" t="s">
        <v>649</v>
      </c>
    </row>
    <row r="25" spans="1:24" ht="15" x14ac:dyDescent="0.25">
      <c r="A25" s="4" t="s">
        <v>462</v>
      </c>
      <c r="B25" s="4" t="s">
        <v>859</v>
      </c>
      <c r="C25" s="4" t="s">
        <v>594</v>
      </c>
      <c r="D25" s="4">
        <v>5</v>
      </c>
      <c r="E25" s="4">
        <v>8</v>
      </c>
      <c r="F25" s="4">
        <v>1.6</v>
      </c>
      <c r="G25" s="4">
        <v>32.550000000000004</v>
      </c>
      <c r="H25" s="4">
        <v>6.5100000000000007</v>
      </c>
      <c r="I25" s="4">
        <v>17.05</v>
      </c>
      <c r="J25" s="4">
        <v>3.41</v>
      </c>
      <c r="K25" s="4">
        <v>27.900000000000002</v>
      </c>
      <c r="L25" s="4">
        <v>5.58</v>
      </c>
      <c r="M25" s="4">
        <v>9.3000000000000007</v>
      </c>
      <c r="N25" s="4">
        <v>1.86</v>
      </c>
      <c r="O25" s="4">
        <v>36.781500000000008</v>
      </c>
      <c r="P25" s="4">
        <v>30.922500000000003</v>
      </c>
      <c r="Q25" s="4">
        <v>31.899000000000004</v>
      </c>
      <c r="R25" s="4">
        <v>41.338500000000003</v>
      </c>
      <c r="S25" s="4">
        <v>41.338500000000003</v>
      </c>
      <c r="T25" s="4">
        <v>41.338500000000003</v>
      </c>
      <c r="U25" s="4">
        <v>41.338500000000003</v>
      </c>
      <c r="V25" s="4" t="s">
        <v>594</v>
      </c>
      <c r="W25" s="4">
        <v>73</v>
      </c>
      <c r="X25" s="7" t="s">
        <v>649</v>
      </c>
    </row>
    <row r="26" spans="1:24" ht="15" x14ac:dyDescent="0.25">
      <c r="A26" s="4" t="s">
        <v>465</v>
      </c>
      <c r="B26" s="4" t="s">
        <v>902</v>
      </c>
      <c r="C26" s="4" t="s">
        <v>640</v>
      </c>
      <c r="D26" s="4">
        <v>7</v>
      </c>
      <c r="E26" s="4">
        <v>11</v>
      </c>
      <c r="F26" s="4">
        <v>1.5714285714285714</v>
      </c>
      <c r="G26" s="4">
        <v>46.5</v>
      </c>
      <c r="H26" s="4">
        <v>6.6428571428571432</v>
      </c>
      <c r="I26" s="4">
        <v>23.25</v>
      </c>
      <c r="J26" s="4">
        <v>3.3214285714285716</v>
      </c>
      <c r="K26" s="4">
        <v>40.300000000000004</v>
      </c>
      <c r="L26" s="4">
        <v>5.757142857142858</v>
      </c>
      <c r="M26" s="4">
        <v>13.950000000000001</v>
      </c>
      <c r="N26" s="4">
        <v>1.9928571428571431</v>
      </c>
      <c r="O26" s="4">
        <v>52.545000000000002</v>
      </c>
      <c r="P26" s="4">
        <v>44.174999999999997</v>
      </c>
      <c r="Q26" s="4">
        <v>45.57</v>
      </c>
      <c r="R26" s="4">
        <v>59.055</v>
      </c>
      <c r="S26" s="4">
        <v>59.055</v>
      </c>
      <c r="T26" s="4">
        <v>59.055</v>
      </c>
      <c r="U26" s="4">
        <v>59.055</v>
      </c>
      <c r="V26" s="4" t="s">
        <v>640</v>
      </c>
      <c r="W26" s="4">
        <v>70</v>
      </c>
      <c r="X26" s="7" t="s">
        <v>649</v>
      </c>
    </row>
    <row r="27" spans="1:24" ht="15" x14ac:dyDescent="0.25">
      <c r="A27" s="4" t="s">
        <v>304</v>
      </c>
      <c r="B27" s="4" t="s">
        <v>876</v>
      </c>
      <c r="C27" s="4" t="s">
        <v>639</v>
      </c>
      <c r="D27" s="4">
        <v>3.1</v>
      </c>
      <c r="E27" s="4">
        <v>0</v>
      </c>
      <c r="F27" s="4">
        <v>0</v>
      </c>
      <c r="G27" s="4">
        <v>55.66</v>
      </c>
      <c r="H27" s="4">
        <v>17.954838709677418</v>
      </c>
      <c r="I27" s="4">
        <v>48.4</v>
      </c>
      <c r="J27" s="4">
        <v>15.61290322580645</v>
      </c>
      <c r="K27" s="4">
        <v>33.879999999999995</v>
      </c>
      <c r="L27" s="4">
        <v>10.929032258064515</v>
      </c>
      <c r="M27" s="4">
        <v>38.72</v>
      </c>
      <c r="N27" s="4">
        <v>12.490322580645161</v>
      </c>
      <c r="O27" s="4">
        <v>55.66</v>
      </c>
      <c r="P27" s="4">
        <v>59.556199999999997</v>
      </c>
      <c r="Q27" s="4">
        <v>55.66</v>
      </c>
      <c r="R27" s="4">
        <v>77.923999999999992</v>
      </c>
      <c r="S27" s="4">
        <v>77.923999999999992</v>
      </c>
      <c r="T27" s="4">
        <v>77.923999999999992</v>
      </c>
      <c r="U27" s="4">
        <v>77.923999999999992</v>
      </c>
      <c r="V27" s="4" t="s">
        <v>639</v>
      </c>
      <c r="W27" s="4">
        <v>197</v>
      </c>
      <c r="X27" s="7" t="s">
        <v>647</v>
      </c>
    </row>
    <row r="28" spans="1:24" ht="15" x14ac:dyDescent="0.25">
      <c r="A28" s="4" t="s">
        <v>306</v>
      </c>
      <c r="B28" s="4" t="s">
        <v>811</v>
      </c>
      <c r="C28" s="4" t="s">
        <v>640</v>
      </c>
      <c r="D28" s="4">
        <v>3</v>
      </c>
      <c r="E28" s="4">
        <v>0</v>
      </c>
      <c r="F28" s="4">
        <v>0</v>
      </c>
      <c r="G28" s="4">
        <v>29.04</v>
      </c>
      <c r="H28" s="4">
        <v>9.68</v>
      </c>
      <c r="I28" s="4">
        <v>45.98</v>
      </c>
      <c r="J28" s="4">
        <v>15.326666666666666</v>
      </c>
      <c r="K28" s="4">
        <v>31.46</v>
      </c>
      <c r="L28" s="4">
        <v>10.486666666666666</v>
      </c>
      <c r="M28" s="4">
        <v>36.299999999999997</v>
      </c>
      <c r="N28" s="4">
        <v>12.1</v>
      </c>
      <c r="O28" s="4">
        <v>29.04</v>
      </c>
      <c r="P28" s="4">
        <v>31.072800000000001</v>
      </c>
      <c r="Q28" s="4">
        <v>29.04</v>
      </c>
      <c r="R28" s="4">
        <v>40.655999999999999</v>
      </c>
      <c r="S28" s="4">
        <v>40.655999999999999</v>
      </c>
      <c r="T28" s="4">
        <v>40.655999999999999</v>
      </c>
      <c r="U28" s="4">
        <v>40.655999999999999</v>
      </c>
      <c r="V28" s="4" t="s">
        <v>640</v>
      </c>
      <c r="W28" s="4">
        <v>195</v>
      </c>
      <c r="X28" s="7" t="s">
        <v>647</v>
      </c>
    </row>
    <row r="29" spans="1:24" ht="15" x14ac:dyDescent="0.25">
      <c r="A29" s="4" t="s">
        <v>305</v>
      </c>
      <c r="B29" s="4" t="s">
        <v>818</v>
      </c>
      <c r="C29" s="4" t="s">
        <v>938</v>
      </c>
      <c r="D29" s="4">
        <v>1.8</v>
      </c>
      <c r="E29" s="4">
        <v>0</v>
      </c>
      <c r="F29" s="4">
        <v>0</v>
      </c>
      <c r="G29" s="4">
        <v>31.46</v>
      </c>
      <c r="H29" s="4">
        <v>17.477777777777778</v>
      </c>
      <c r="I29" s="4">
        <v>29.04</v>
      </c>
      <c r="J29" s="4">
        <v>16.133333333333333</v>
      </c>
      <c r="K29" s="4">
        <v>19.36</v>
      </c>
      <c r="L29" s="4">
        <v>10.755555555555555</v>
      </c>
      <c r="M29" s="4">
        <v>21.78</v>
      </c>
      <c r="N29" s="4">
        <v>12.1</v>
      </c>
      <c r="O29" s="4">
        <v>31.46</v>
      </c>
      <c r="P29" s="4">
        <v>33.662199999999999</v>
      </c>
      <c r="Q29" s="4">
        <v>31.46</v>
      </c>
      <c r="R29" s="4">
        <v>44.043999999999997</v>
      </c>
      <c r="S29" s="4">
        <v>44.043999999999997</v>
      </c>
      <c r="T29" s="4">
        <v>44.043999999999997</v>
      </c>
      <c r="U29" s="4">
        <v>44.043999999999997</v>
      </c>
      <c r="V29" s="4" t="s">
        <v>938</v>
      </c>
      <c r="W29" s="4">
        <v>196</v>
      </c>
      <c r="X29" s="7" t="s">
        <v>647</v>
      </c>
    </row>
    <row r="30" spans="1:24" ht="15" x14ac:dyDescent="0.25">
      <c r="A30" s="4" t="s">
        <v>321</v>
      </c>
      <c r="B30" s="4" t="s">
        <v>795</v>
      </c>
      <c r="C30" s="4" t="s">
        <v>938</v>
      </c>
      <c r="D30" s="4">
        <v>1.8</v>
      </c>
      <c r="E30" s="4">
        <v>0</v>
      </c>
      <c r="F30" s="4">
        <v>0</v>
      </c>
      <c r="G30" s="4">
        <v>17.05</v>
      </c>
      <c r="H30" s="4">
        <v>9.4722222222222232</v>
      </c>
      <c r="I30" s="4">
        <v>21.7</v>
      </c>
      <c r="J30" s="4">
        <v>12.055555555555555</v>
      </c>
      <c r="K30" s="4">
        <v>17.05</v>
      </c>
      <c r="L30" s="4">
        <v>9.4722222222222232</v>
      </c>
      <c r="M30" s="4">
        <v>13.950000000000001</v>
      </c>
      <c r="N30" s="4">
        <v>7.75</v>
      </c>
      <c r="O30" s="4">
        <v>17.05</v>
      </c>
      <c r="P30" s="4">
        <v>18.584500000000002</v>
      </c>
      <c r="Q30" s="4">
        <v>17.05</v>
      </c>
      <c r="R30" s="4">
        <v>21.653500000000001</v>
      </c>
      <c r="S30" s="4">
        <v>21.653500000000001</v>
      </c>
      <c r="T30" s="4">
        <v>21.653500000000001</v>
      </c>
      <c r="U30" s="4">
        <v>21.653500000000001</v>
      </c>
      <c r="V30" s="4" t="s">
        <v>938</v>
      </c>
      <c r="W30" s="4">
        <v>112</v>
      </c>
      <c r="X30" s="7" t="s">
        <v>649</v>
      </c>
    </row>
    <row r="31" spans="1:24" ht="15" x14ac:dyDescent="0.25">
      <c r="A31" s="4" t="s">
        <v>405</v>
      </c>
      <c r="B31" s="4" t="s">
        <v>783</v>
      </c>
      <c r="C31" s="4" t="s">
        <v>640</v>
      </c>
      <c r="D31" s="4">
        <v>1</v>
      </c>
      <c r="E31" s="4">
        <v>0</v>
      </c>
      <c r="F31" s="4">
        <v>0</v>
      </c>
      <c r="G31" s="4">
        <v>19.36</v>
      </c>
      <c r="H31" s="4">
        <v>19.36</v>
      </c>
      <c r="I31" s="4">
        <v>41.14</v>
      </c>
      <c r="J31" s="4">
        <v>41.14</v>
      </c>
      <c r="K31" s="4">
        <v>29.04</v>
      </c>
      <c r="L31" s="4">
        <v>29.04</v>
      </c>
      <c r="M31" s="4">
        <v>29.04</v>
      </c>
      <c r="N31" s="4">
        <v>29.04</v>
      </c>
      <c r="O31" s="4">
        <v>21.102399999999999</v>
      </c>
      <c r="P31" s="4">
        <v>19.940799999999999</v>
      </c>
      <c r="Q31" s="4">
        <v>19.36</v>
      </c>
      <c r="R31" s="4">
        <v>27.103999999999999</v>
      </c>
      <c r="S31" s="4">
        <v>27.103999999999999</v>
      </c>
      <c r="T31" s="4">
        <v>27.103999999999999</v>
      </c>
      <c r="U31" s="4">
        <v>27.103999999999999</v>
      </c>
      <c r="V31" s="4" t="s">
        <v>640</v>
      </c>
      <c r="W31" s="4">
        <v>180</v>
      </c>
      <c r="X31" s="7" t="s">
        <v>647</v>
      </c>
    </row>
    <row r="32" spans="1:24" ht="15" x14ac:dyDescent="0.25">
      <c r="A32" s="4" t="s">
        <v>403</v>
      </c>
      <c r="B32" s="4" t="s">
        <v>817</v>
      </c>
      <c r="C32" s="4" t="s">
        <v>639</v>
      </c>
      <c r="D32" s="4">
        <v>1.8</v>
      </c>
      <c r="E32" s="4">
        <v>0</v>
      </c>
      <c r="F32" s="4">
        <v>0</v>
      </c>
      <c r="G32" s="4">
        <v>31.46</v>
      </c>
      <c r="H32" s="4">
        <v>17.477777777777778</v>
      </c>
      <c r="I32" s="4">
        <v>67.759999999999991</v>
      </c>
      <c r="J32" s="4">
        <v>37.644444444444439</v>
      </c>
      <c r="K32" s="4">
        <v>50.82</v>
      </c>
      <c r="L32" s="4">
        <v>28.233333333333334</v>
      </c>
      <c r="M32" s="4">
        <v>50.82</v>
      </c>
      <c r="N32" s="4">
        <v>28.233333333333334</v>
      </c>
      <c r="O32" s="4">
        <v>34.291400000000003</v>
      </c>
      <c r="P32" s="4">
        <v>32.403800000000004</v>
      </c>
      <c r="Q32" s="4">
        <v>31.46</v>
      </c>
      <c r="R32" s="4">
        <v>44.043999999999997</v>
      </c>
      <c r="S32" s="4">
        <v>44.043999999999997</v>
      </c>
      <c r="T32" s="4">
        <v>44.043999999999997</v>
      </c>
      <c r="U32" s="4">
        <v>44.043999999999997</v>
      </c>
      <c r="V32" s="4" t="s">
        <v>639</v>
      </c>
      <c r="W32" s="4">
        <v>182</v>
      </c>
      <c r="X32" s="7" t="s">
        <v>647</v>
      </c>
    </row>
    <row r="33" spans="1:24" ht="15" x14ac:dyDescent="0.25">
      <c r="A33" s="4" t="s">
        <v>404</v>
      </c>
      <c r="B33" s="4" t="s">
        <v>784</v>
      </c>
      <c r="C33" s="4" t="s">
        <v>938</v>
      </c>
      <c r="D33" s="4">
        <v>1</v>
      </c>
      <c r="E33" s="4">
        <v>0</v>
      </c>
      <c r="F33" s="4">
        <v>0</v>
      </c>
      <c r="G33" s="4">
        <v>19.36</v>
      </c>
      <c r="H33" s="4">
        <v>19.36</v>
      </c>
      <c r="I33" s="4">
        <v>41.14</v>
      </c>
      <c r="J33" s="4">
        <v>41.14</v>
      </c>
      <c r="K33" s="4">
        <v>29.04</v>
      </c>
      <c r="L33" s="4">
        <v>29.04</v>
      </c>
      <c r="M33" s="4">
        <v>29.04</v>
      </c>
      <c r="N33" s="4">
        <v>29.04</v>
      </c>
      <c r="O33" s="4">
        <v>21.102399999999999</v>
      </c>
      <c r="P33" s="4">
        <v>19.940799999999999</v>
      </c>
      <c r="Q33" s="4">
        <v>19.36</v>
      </c>
      <c r="R33" s="4">
        <v>27.103999999999999</v>
      </c>
      <c r="S33" s="4">
        <v>27.103999999999999</v>
      </c>
      <c r="T33" s="4">
        <v>27.103999999999999</v>
      </c>
      <c r="U33" s="4">
        <v>27.103999999999999</v>
      </c>
      <c r="V33" s="4" t="s">
        <v>938</v>
      </c>
      <c r="W33" s="4">
        <v>181</v>
      </c>
      <c r="X33" s="7" t="s">
        <v>647</v>
      </c>
    </row>
    <row r="34" spans="1:24" ht="15" x14ac:dyDescent="0.25">
      <c r="A34" s="4" t="s">
        <v>402</v>
      </c>
      <c r="B34" s="4" t="s">
        <v>770</v>
      </c>
      <c r="C34" s="4" t="s">
        <v>594</v>
      </c>
      <c r="D34" s="4">
        <v>0.7</v>
      </c>
      <c r="E34" s="4">
        <v>0</v>
      </c>
      <c r="F34" s="4">
        <v>0</v>
      </c>
      <c r="G34" s="4">
        <v>12.1</v>
      </c>
      <c r="H34" s="4">
        <v>17.285714285714285</v>
      </c>
      <c r="I34" s="4">
        <v>26.619999999999997</v>
      </c>
      <c r="J34" s="4">
        <v>38.028571428571425</v>
      </c>
      <c r="K34" s="4">
        <v>19.36</v>
      </c>
      <c r="L34" s="4">
        <v>27.657142857142858</v>
      </c>
      <c r="M34" s="4">
        <v>19.36</v>
      </c>
      <c r="N34" s="4">
        <v>27.657142857142858</v>
      </c>
      <c r="O34" s="4">
        <v>13.189</v>
      </c>
      <c r="P34" s="4">
        <v>12.462999999999999</v>
      </c>
      <c r="Q34" s="4">
        <v>12.1</v>
      </c>
      <c r="R34" s="4">
        <v>16.939999999999998</v>
      </c>
      <c r="S34" s="4">
        <v>16.939999999999998</v>
      </c>
      <c r="T34" s="4">
        <v>16.939999999999998</v>
      </c>
      <c r="U34" s="4">
        <v>16.939999999999998</v>
      </c>
      <c r="V34" s="4" t="s">
        <v>594</v>
      </c>
      <c r="W34" s="4">
        <v>183</v>
      </c>
      <c r="X34" s="7" t="s">
        <v>647</v>
      </c>
    </row>
    <row r="35" spans="1:24" ht="15" x14ac:dyDescent="0.25">
      <c r="A35" s="4" t="s">
        <v>322</v>
      </c>
      <c r="B35" s="4" t="s">
        <v>839</v>
      </c>
      <c r="C35" s="4" t="s">
        <v>640</v>
      </c>
      <c r="D35" s="4">
        <v>2.8</v>
      </c>
      <c r="E35" s="4">
        <v>0</v>
      </c>
      <c r="F35" s="4">
        <v>0</v>
      </c>
      <c r="G35" s="4">
        <v>24.8</v>
      </c>
      <c r="H35" s="4">
        <v>8.8571428571428577</v>
      </c>
      <c r="I35" s="4">
        <v>34.1</v>
      </c>
      <c r="J35" s="4">
        <v>12.178571428571431</v>
      </c>
      <c r="K35" s="4">
        <v>26.35</v>
      </c>
      <c r="L35" s="4">
        <v>9.4107142857142865</v>
      </c>
      <c r="M35" s="4">
        <v>20.150000000000002</v>
      </c>
      <c r="N35" s="4">
        <v>7.196428571428573</v>
      </c>
      <c r="O35" s="4">
        <v>24.8</v>
      </c>
      <c r="P35" s="4">
        <v>27.032</v>
      </c>
      <c r="Q35" s="4">
        <v>24.8</v>
      </c>
      <c r="R35" s="4">
        <v>31.496000000000002</v>
      </c>
      <c r="S35" s="4">
        <v>31.496000000000002</v>
      </c>
      <c r="T35" s="4">
        <v>31.496000000000002</v>
      </c>
      <c r="U35" s="4">
        <v>31.496000000000002</v>
      </c>
      <c r="V35" s="4" t="s">
        <v>640</v>
      </c>
      <c r="W35" s="4">
        <v>111</v>
      </c>
      <c r="X35" s="7" t="s">
        <v>649</v>
      </c>
    </row>
    <row r="36" spans="1:24" ht="15" x14ac:dyDescent="0.25">
      <c r="A36" s="4" t="s">
        <v>257</v>
      </c>
      <c r="B36" s="4" t="s">
        <v>816</v>
      </c>
      <c r="C36" s="4" t="s">
        <v>640</v>
      </c>
      <c r="D36" s="4">
        <v>2.5</v>
      </c>
      <c r="E36" s="4">
        <v>0</v>
      </c>
      <c r="F36" s="4">
        <v>0</v>
      </c>
      <c r="G36" s="4">
        <v>31.46</v>
      </c>
      <c r="H36" s="4">
        <v>12.584</v>
      </c>
      <c r="I36" s="4">
        <v>65.34</v>
      </c>
      <c r="J36" s="4">
        <v>26.136000000000003</v>
      </c>
      <c r="K36" s="4">
        <v>38.72</v>
      </c>
      <c r="L36" s="4">
        <v>15.488</v>
      </c>
      <c r="M36" s="4">
        <v>50.82</v>
      </c>
      <c r="N36" s="4">
        <v>20.327999999999999</v>
      </c>
      <c r="O36" s="4">
        <v>31.46</v>
      </c>
      <c r="P36" s="4">
        <v>39.325000000000003</v>
      </c>
      <c r="Q36" s="4">
        <v>31.46</v>
      </c>
      <c r="R36" s="4">
        <v>44.043999999999997</v>
      </c>
      <c r="S36" s="4">
        <v>44.043999999999997</v>
      </c>
      <c r="T36" s="4">
        <v>44.043999999999997</v>
      </c>
      <c r="U36" s="4">
        <v>44.043999999999997</v>
      </c>
      <c r="V36" s="4" t="s">
        <v>640</v>
      </c>
      <c r="W36" s="4">
        <v>103</v>
      </c>
      <c r="X36" s="7" t="s">
        <v>647</v>
      </c>
    </row>
    <row r="37" spans="1:24" ht="15" x14ac:dyDescent="0.25">
      <c r="A37" s="4" t="s">
        <v>606</v>
      </c>
      <c r="B37" s="4" t="s">
        <v>606</v>
      </c>
      <c r="C37" s="4" t="s">
        <v>640</v>
      </c>
      <c r="D37" s="4">
        <v>4</v>
      </c>
      <c r="E37" s="4">
        <v>6</v>
      </c>
      <c r="F37" s="4">
        <v>1.5</v>
      </c>
      <c r="G37" s="4">
        <v>14</v>
      </c>
      <c r="H37" s="4">
        <v>3.5</v>
      </c>
      <c r="I37" s="4">
        <v>10</v>
      </c>
      <c r="J37" s="4">
        <v>2.5</v>
      </c>
      <c r="K37" s="4">
        <v>11</v>
      </c>
      <c r="L37" s="4">
        <v>2.75</v>
      </c>
      <c r="M37" s="4">
        <v>7</v>
      </c>
      <c r="N37" s="4">
        <v>1.75</v>
      </c>
      <c r="O37" s="4">
        <v>16.100000000000001</v>
      </c>
      <c r="P37" s="4">
        <v>13.3</v>
      </c>
      <c r="Q37" s="4">
        <v>14</v>
      </c>
      <c r="R37" s="4">
        <v>14</v>
      </c>
      <c r="S37" s="4">
        <v>14</v>
      </c>
      <c r="T37" s="4">
        <v>14</v>
      </c>
      <c r="U37" s="4">
        <v>14</v>
      </c>
      <c r="V37" s="4" t="s">
        <v>640</v>
      </c>
      <c r="W37" s="4">
        <v>148</v>
      </c>
      <c r="X37" s="7" t="s">
        <v>935</v>
      </c>
    </row>
    <row r="38" spans="1:24" ht="15" x14ac:dyDescent="0.25">
      <c r="A38" s="4" t="s">
        <v>633</v>
      </c>
      <c r="B38" s="4" t="s">
        <v>633</v>
      </c>
      <c r="C38" s="4" t="s">
        <v>938</v>
      </c>
      <c r="D38" s="4">
        <v>2.8</v>
      </c>
      <c r="E38" s="4">
        <v>0</v>
      </c>
      <c r="F38" s="4">
        <v>0</v>
      </c>
      <c r="G38" s="4">
        <v>15</v>
      </c>
      <c r="H38" s="4">
        <v>5.3571428571428577</v>
      </c>
      <c r="I38" s="4">
        <v>15</v>
      </c>
      <c r="J38" s="4">
        <v>5.3571428571428577</v>
      </c>
      <c r="K38" s="4">
        <v>19</v>
      </c>
      <c r="L38" s="4">
        <v>6.7857142857142865</v>
      </c>
      <c r="M38" s="4">
        <v>19</v>
      </c>
      <c r="N38" s="4">
        <v>6.7857142857142865</v>
      </c>
      <c r="O38" s="4">
        <v>17.25</v>
      </c>
      <c r="P38" s="4">
        <v>16.2</v>
      </c>
      <c r="Q38" s="4">
        <v>13.8</v>
      </c>
      <c r="R38" s="4">
        <v>15</v>
      </c>
      <c r="S38" s="4">
        <v>15</v>
      </c>
      <c r="T38" s="4">
        <v>15</v>
      </c>
      <c r="U38" s="4">
        <v>15</v>
      </c>
      <c r="V38" s="4" t="s">
        <v>938</v>
      </c>
      <c r="W38" s="4">
        <v>37</v>
      </c>
      <c r="X38" s="7" t="s">
        <v>935</v>
      </c>
    </row>
    <row r="39" spans="1:24" ht="15" x14ac:dyDescent="0.25">
      <c r="A39" s="4" t="s">
        <v>430</v>
      </c>
      <c r="B39" s="4" t="s">
        <v>928</v>
      </c>
      <c r="C39" s="4" t="s">
        <v>639</v>
      </c>
      <c r="D39" s="4">
        <v>10.9</v>
      </c>
      <c r="E39" s="4">
        <v>16</v>
      </c>
      <c r="F39" s="4">
        <v>1.4678899082568806</v>
      </c>
      <c r="G39" s="4">
        <v>74.400000000000006</v>
      </c>
      <c r="H39" s="4">
        <v>6.8256880733944953</v>
      </c>
      <c r="I39" s="4">
        <v>41.85</v>
      </c>
      <c r="J39" s="4">
        <v>3.8394495412844036</v>
      </c>
      <c r="K39" s="4">
        <v>38.75</v>
      </c>
      <c r="L39" s="4">
        <v>3.5550458715596327</v>
      </c>
      <c r="M39" s="4">
        <v>38.75</v>
      </c>
      <c r="N39" s="4">
        <v>3.5550458715596327</v>
      </c>
      <c r="O39" s="4">
        <v>84.072000000000003</v>
      </c>
      <c r="P39" s="4">
        <v>71.424000000000007</v>
      </c>
      <c r="Q39" s="4">
        <v>74.400000000000006</v>
      </c>
      <c r="R39" s="4">
        <v>94.488000000000014</v>
      </c>
      <c r="S39" s="4">
        <v>94.488000000000014</v>
      </c>
      <c r="T39" s="4">
        <v>94.488000000000014</v>
      </c>
      <c r="U39" s="4">
        <v>94.488000000000014</v>
      </c>
      <c r="V39" s="4" t="s">
        <v>639</v>
      </c>
      <c r="W39" s="4">
        <v>138</v>
      </c>
      <c r="X39" s="7" t="s">
        <v>649</v>
      </c>
    </row>
    <row r="40" spans="1:24" ht="15" x14ac:dyDescent="0.25">
      <c r="A40" s="4" t="s">
        <v>431</v>
      </c>
      <c r="B40" s="4" t="s">
        <v>878</v>
      </c>
      <c r="C40" s="4" t="s">
        <v>938</v>
      </c>
      <c r="D40" s="4">
        <v>5.4</v>
      </c>
      <c r="E40" s="4">
        <v>8</v>
      </c>
      <c r="F40" s="4">
        <v>1.4814814814814814</v>
      </c>
      <c r="G40" s="4">
        <v>37.200000000000003</v>
      </c>
      <c r="H40" s="4">
        <v>6.8888888888888893</v>
      </c>
      <c r="I40" s="4">
        <v>21.7</v>
      </c>
      <c r="J40" s="4">
        <v>4.0185185185185182</v>
      </c>
      <c r="K40" s="4">
        <v>18.600000000000001</v>
      </c>
      <c r="L40" s="4">
        <v>3.4444444444444446</v>
      </c>
      <c r="M40" s="4">
        <v>18.600000000000001</v>
      </c>
      <c r="N40" s="4">
        <v>3.4444444444444446</v>
      </c>
      <c r="O40" s="4">
        <v>42.036000000000001</v>
      </c>
      <c r="P40" s="4">
        <v>35.712000000000003</v>
      </c>
      <c r="Q40" s="4">
        <v>37.200000000000003</v>
      </c>
      <c r="R40" s="4">
        <v>47.244000000000007</v>
      </c>
      <c r="S40" s="4">
        <v>47.244000000000007</v>
      </c>
      <c r="T40" s="4">
        <v>47.244000000000007</v>
      </c>
      <c r="U40" s="4">
        <v>47.244000000000007</v>
      </c>
      <c r="V40" s="4" t="s">
        <v>938</v>
      </c>
      <c r="W40" s="4">
        <v>137</v>
      </c>
      <c r="X40" s="7" t="s">
        <v>649</v>
      </c>
    </row>
    <row r="41" spans="1:24" ht="15" x14ac:dyDescent="0.25">
      <c r="A41" s="4" t="s">
        <v>429</v>
      </c>
      <c r="B41" s="4" t="s">
        <v>866</v>
      </c>
      <c r="C41" s="4" t="s">
        <v>594</v>
      </c>
      <c r="D41" s="4">
        <v>5.0999999999999899</v>
      </c>
      <c r="E41" s="4">
        <v>8</v>
      </c>
      <c r="F41" s="4">
        <v>1.5686274509803952</v>
      </c>
      <c r="G41" s="4">
        <v>34.1</v>
      </c>
      <c r="H41" s="4">
        <v>6.6862745098039351</v>
      </c>
      <c r="I41" s="4">
        <v>18.600000000000001</v>
      </c>
      <c r="J41" s="4">
        <v>3.6470588235294192</v>
      </c>
      <c r="K41" s="4">
        <v>17.05</v>
      </c>
      <c r="L41" s="4">
        <v>3.3431372549019676</v>
      </c>
      <c r="M41" s="4">
        <v>17.05</v>
      </c>
      <c r="N41" s="4">
        <v>3.3431372549019676</v>
      </c>
      <c r="O41" s="4">
        <v>38.533000000000001</v>
      </c>
      <c r="P41" s="4">
        <v>32.736000000000004</v>
      </c>
      <c r="Q41" s="4">
        <v>34.1</v>
      </c>
      <c r="R41" s="4">
        <v>43.307000000000002</v>
      </c>
      <c r="S41" s="4">
        <v>43.307000000000002</v>
      </c>
      <c r="T41" s="4">
        <v>43.307000000000002</v>
      </c>
      <c r="U41" s="4">
        <v>43.307000000000002</v>
      </c>
      <c r="V41" s="4" t="s">
        <v>594</v>
      </c>
      <c r="W41" s="4">
        <v>139</v>
      </c>
      <c r="X41" s="7" t="s">
        <v>649</v>
      </c>
    </row>
    <row r="42" spans="1:24" ht="15" x14ac:dyDescent="0.25">
      <c r="A42" s="4" t="s">
        <v>432</v>
      </c>
      <c r="B42" s="4" t="s">
        <v>892</v>
      </c>
      <c r="C42" s="4" t="s">
        <v>640</v>
      </c>
      <c r="D42" s="4">
        <v>6.4</v>
      </c>
      <c r="E42" s="4">
        <v>9</v>
      </c>
      <c r="F42" s="4">
        <v>1.40625</v>
      </c>
      <c r="G42" s="4">
        <v>40.300000000000004</v>
      </c>
      <c r="H42" s="4">
        <v>6.296875</v>
      </c>
      <c r="I42" s="4">
        <v>24.8</v>
      </c>
      <c r="J42" s="4">
        <v>3.875</v>
      </c>
      <c r="K42" s="4">
        <v>23.25</v>
      </c>
      <c r="L42" s="4">
        <v>3.6328125</v>
      </c>
      <c r="M42" s="4">
        <v>23.25</v>
      </c>
      <c r="N42" s="4">
        <v>3.6328125</v>
      </c>
      <c r="O42" s="4">
        <v>45.539000000000001</v>
      </c>
      <c r="P42" s="4">
        <v>38.688000000000002</v>
      </c>
      <c r="Q42" s="4">
        <v>40.300000000000004</v>
      </c>
      <c r="R42" s="4">
        <v>51.181000000000004</v>
      </c>
      <c r="S42" s="4">
        <v>51.181000000000004</v>
      </c>
      <c r="T42" s="4">
        <v>51.181000000000004</v>
      </c>
      <c r="U42" s="4">
        <v>51.181000000000004</v>
      </c>
      <c r="V42" s="4" t="s">
        <v>640</v>
      </c>
      <c r="W42" s="4">
        <v>136</v>
      </c>
      <c r="X42" s="7" t="s">
        <v>649</v>
      </c>
    </row>
    <row r="43" spans="1:24" ht="15" x14ac:dyDescent="0.25">
      <c r="A43" s="4" t="s">
        <v>438</v>
      </c>
      <c r="B43" s="4" t="s">
        <v>875</v>
      </c>
      <c r="C43" s="4" t="s">
        <v>639</v>
      </c>
      <c r="D43" s="4">
        <v>3.1</v>
      </c>
      <c r="E43" s="4">
        <v>0</v>
      </c>
      <c r="F43" s="4">
        <v>0</v>
      </c>
      <c r="G43" s="4">
        <v>55.66</v>
      </c>
      <c r="H43" s="4">
        <v>17.954838709677418</v>
      </c>
      <c r="I43" s="4">
        <v>48.4</v>
      </c>
      <c r="J43" s="4">
        <v>15.61290322580645</v>
      </c>
      <c r="K43" s="4">
        <v>31.46</v>
      </c>
      <c r="L43" s="4">
        <v>10.148387096774194</v>
      </c>
      <c r="M43" s="4">
        <v>41.14</v>
      </c>
      <c r="N43" s="4">
        <v>13.270967741935484</v>
      </c>
      <c r="O43" s="4">
        <v>55.66</v>
      </c>
      <c r="P43" s="4">
        <v>61.225999999999999</v>
      </c>
      <c r="Q43" s="4">
        <v>50.093999999999994</v>
      </c>
      <c r="R43" s="4">
        <v>77.923999999999992</v>
      </c>
      <c r="S43" s="4">
        <v>77.923999999999992</v>
      </c>
      <c r="T43" s="4">
        <v>77.923999999999992</v>
      </c>
      <c r="U43" s="4">
        <v>77.923999999999992</v>
      </c>
      <c r="V43" s="4" t="s">
        <v>639</v>
      </c>
      <c r="W43" s="4">
        <v>193</v>
      </c>
      <c r="X43" s="7" t="s">
        <v>647</v>
      </c>
    </row>
    <row r="44" spans="1:24" ht="15" x14ac:dyDescent="0.25">
      <c r="A44" s="4" t="s">
        <v>439</v>
      </c>
      <c r="B44" s="4" t="s">
        <v>831</v>
      </c>
      <c r="C44" s="4" t="s">
        <v>938</v>
      </c>
      <c r="D44" s="4">
        <v>1.8</v>
      </c>
      <c r="E44" s="4">
        <v>0</v>
      </c>
      <c r="F44" s="4">
        <v>0</v>
      </c>
      <c r="G44" s="4">
        <v>33.879999999999995</v>
      </c>
      <c r="H44" s="4">
        <v>18.822222222222219</v>
      </c>
      <c r="I44" s="4">
        <v>29.04</v>
      </c>
      <c r="J44" s="4">
        <v>16.133333333333333</v>
      </c>
      <c r="K44" s="4">
        <v>19.36</v>
      </c>
      <c r="L44" s="4">
        <v>10.755555555555555</v>
      </c>
      <c r="M44" s="4">
        <v>24.2</v>
      </c>
      <c r="N44" s="4">
        <v>13.444444444444443</v>
      </c>
      <c r="O44" s="4">
        <v>33.879999999999995</v>
      </c>
      <c r="P44" s="4">
        <v>37.267999999999994</v>
      </c>
      <c r="Q44" s="4">
        <v>30.491999999999997</v>
      </c>
      <c r="R44" s="4">
        <v>47.431999999999988</v>
      </c>
      <c r="S44" s="4">
        <v>47.431999999999988</v>
      </c>
      <c r="T44" s="4">
        <v>47.431999999999988</v>
      </c>
      <c r="U44" s="4">
        <v>47.431999999999988</v>
      </c>
      <c r="V44" s="4" t="s">
        <v>938</v>
      </c>
      <c r="W44" s="4">
        <v>192</v>
      </c>
      <c r="X44" s="7" t="s">
        <v>647</v>
      </c>
    </row>
    <row r="45" spans="1:24" ht="15" x14ac:dyDescent="0.25">
      <c r="A45" s="4" t="s">
        <v>437</v>
      </c>
      <c r="B45" s="4" t="s">
        <v>790</v>
      </c>
      <c r="C45" s="4" t="s">
        <v>594</v>
      </c>
      <c r="D45" s="4">
        <v>1.2</v>
      </c>
      <c r="E45" s="4">
        <v>0</v>
      </c>
      <c r="F45" s="4">
        <v>0</v>
      </c>
      <c r="G45" s="4">
        <v>21.78</v>
      </c>
      <c r="H45" s="4">
        <v>18.150000000000002</v>
      </c>
      <c r="I45" s="4">
        <v>19.36</v>
      </c>
      <c r="J45" s="4">
        <v>16.133333333333333</v>
      </c>
      <c r="K45" s="4">
        <v>12.1</v>
      </c>
      <c r="L45" s="4">
        <v>10.083333333333334</v>
      </c>
      <c r="M45" s="4">
        <v>14.52</v>
      </c>
      <c r="N45" s="4">
        <v>12.1</v>
      </c>
      <c r="O45" s="4">
        <v>21.78</v>
      </c>
      <c r="P45" s="4">
        <v>23.958000000000002</v>
      </c>
      <c r="Q45" s="4">
        <v>19.602</v>
      </c>
      <c r="R45" s="4">
        <v>30.492000000000001</v>
      </c>
      <c r="S45" s="4">
        <v>30.492000000000001</v>
      </c>
      <c r="T45" s="4">
        <v>30.492000000000001</v>
      </c>
      <c r="U45" s="4">
        <v>30.492000000000001</v>
      </c>
      <c r="V45" s="4" t="s">
        <v>594</v>
      </c>
      <c r="W45" s="4">
        <v>194</v>
      </c>
      <c r="X45" s="7" t="s">
        <v>647</v>
      </c>
    </row>
    <row r="46" spans="1:24" ht="15" x14ac:dyDescent="0.25">
      <c r="A46" s="4" t="s">
        <v>440</v>
      </c>
      <c r="B46" s="4" t="s">
        <v>830</v>
      </c>
      <c r="C46" s="4" t="s">
        <v>640</v>
      </c>
      <c r="D46" s="4">
        <v>1.8</v>
      </c>
      <c r="E46" s="4">
        <v>0</v>
      </c>
      <c r="F46" s="4">
        <v>0</v>
      </c>
      <c r="G46" s="4">
        <v>33.879999999999995</v>
      </c>
      <c r="H46" s="4">
        <v>18.822222222222219</v>
      </c>
      <c r="I46" s="4">
        <v>29.04</v>
      </c>
      <c r="J46" s="4">
        <v>16.133333333333333</v>
      </c>
      <c r="K46" s="4">
        <v>19.36</v>
      </c>
      <c r="L46" s="4">
        <v>10.755555555555555</v>
      </c>
      <c r="M46" s="4">
        <v>24.2</v>
      </c>
      <c r="N46" s="4">
        <v>13.444444444444443</v>
      </c>
      <c r="O46" s="4">
        <v>33.879999999999995</v>
      </c>
      <c r="P46" s="4">
        <v>37.267999999999994</v>
      </c>
      <c r="Q46" s="4">
        <v>30.491999999999997</v>
      </c>
      <c r="R46" s="4">
        <v>47.431999999999988</v>
      </c>
      <c r="S46" s="4">
        <v>47.431999999999988</v>
      </c>
      <c r="T46" s="4">
        <v>47.431999999999988</v>
      </c>
      <c r="U46" s="4">
        <v>47.431999999999988</v>
      </c>
      <c r="V46" s="4" t="s">
        <v>640</v>
      </c>
      <c r="W46" s="4">
        <v>191</v>
      </c>
      <c r="X46" s="7" t="s">
        <v>647</v>
      </c>
    </row>
    <row r="47" spans="1:24" ht="15" x14ac:dyDescent="0.25">
      <c r="A47" s="4" t="s">
        <v>243</v>
      </c>
      <c r="B47" s="4" t="s">
        <v>931</v>
      </c>
      <c r="C47" s="4" t="s">
        <v>639</v>
      </c>
      <c r="D47" s="4">
        <v>11.7</v>
      </c>
      <c r="E47" s="4">
        <v>21</v>
      </c>
      <c r="F47" s="4">
        <v>1.7948717948717949</v>
      </c>
      <c r="G47" s="4">
        <v>88.350000000000009</v>
      </c>
      <c r="H47" s="4">
        <v>7.5512820512820529</v>
      </c>
      <c r="I47" s="4">
        <v>48.050000000000004</v>
      </c>
      <c r="J47" s="4">
        <v>4.1068376068376073</v>
      </c>
      <c r="K47" s="4">
        <v>57.35</v>
      </c>
      <c r="L47" s="4">
        <v>4.9017094017094021</v>
      </c>
      <c r="M47" s="4">
        <v>29.45</v>
      </c>
      <c r="N47" s="4">
        <v>2.517094017094017</v>
      </c>
      <c r="O47" s="4">
        <v>101.60250000000001</v>
      </c>
      <c r="P47" s="4">
        <v>87.466500000000011</v>
      </c>
      <c r="Q47" s="4">
        <v>88.350000000000009</v>
      </c>
      <c r="R47" s="4">
        <v>112.20450000000001</v>
      </c>
      <c r="S47" s="4">
        <v>112.20450000000001</v>
      </c>
      <c r="T47" s="4">
        <v>112.20450000000001</v>
      </c>
      <c r="U47" s="4">
        <v>112.20450000000001</v>
      </c>
      <c r="V47" s="4" t="s">
        <v>639</v>
      </c>
      <c r="W47" s="4">
        <v>146</v>
      </c>
      <c r="X47" s="7" t="s">
        <v>649</v>
      </c>
    </row>
    <row r="48" spans="1:24" ht="15" x14ac:dyDescent="0.25">
      <c r="A48" s="4" t="s">
        <v>597</v>
      </c>
      <c r="B48" s="4" t="s">
        <v>909</v>
      </c>
      <c r="C48" s="4" t="s">
        <v>938</v>
      </c>
      <c r="D48" s="4">
        <v>6.9</v>
      </c>
      <c r="E48" s="4">
        <v>13</v>
      </c>
      <c r="F48" s="4">
        <v>1.8840579710144927</v>
      </c>
      <c r="G48" s="4">
        <v>52.7</v>
      </c>
      <c r="H48" s="4">
        <v>7.63768115942029</v>
      </c>
      <c r="I48" s="4">
        <v>27.900000000000002</v>
      </c>
      <c r="J48" s="4">
        <v>4.0434782608695654</v>
      </c>
      <c r="K48" s="4">
        <v>32.550000000000004</v>
      </c>
      <c r="L48" s="4">
        <v>4.7173913043478262</v>
      </c>
      <c r="M48" s="4">
        <v>18.600000000000001</v>
      </c>
      <c r="N48" s="4">
        <v>2.6956521739130435</v>
      </c>
      <c r="O48" s="4">
        <v>60.605000000000004</v>
      </c>
      <c r="P48" s="4">
        <v>52.173000000000002</v>
      </c>
      <c r="Q48" s="4">
        <v>52.7</v>
      </c>
      <c r="R48" s="4">
        <v>66.929000000000002</v>
      </c>
      <c r="S48" s="4">
        <v>66.929000000000002</v>
      </c>
      <c r="T48" s="4">
        <v>66.929000000000002</v>
      </c>
      <c r="U48" s="4">
        <v>66.929000000000002</v>
      </c>
      <c r="V48" s="4" t="s">
        <v>938</v>
      </c>
      <c r="W48" s="4">
        <v>145</v>
      </c>
      <c r="X48" s="7" t="s">
        <v>649</v>
      </c>
    </row>
    <row r="49" spans="1:24" ht="15" x14ac:dyDescent="0.25">
      <c r="A49" s="4" t="s">
        <v>241</v>
      </c>
      <c r="B49" s="4" t="s">
        <v>867</v>
      </c>
      <c r="C49" s="4" t="s">
        <v>594</v>
      </c>
      <c r="D49" s="4">
        <v>4.5</v>
      </c>
      <c r="E49" s="4">
        <v>8</v>
      </c>
      <c r="F49" s="4">
        <v>1.7777777777777777</v>
      </c>
      <c r="G49" s="4">
        <v>34.1</v>
      </c>
      <c r="H49" s="4">
        <v>7.5777777777777784</v>
      </c>
      <c r="I49" s="4">
        <v>18.600000000000001</v>
      </c>
      <c r="J49" s="4">
        <v>4.1333333333333337</v>
      </c>
      <c r="K49" s="4">
        <v>20.150000000000002</v>
      </c>
      <c r="L49" s="4">
        <v>4.4777777777777779</v>
      </c>
      <c r="M49" s="4">
        <v>10.85</v>
      </c>
      <c r="N49" s="4">
        <v>2.411111111111111</v>
      </c>
      <c r="O49" s="4">
        <v>39.215000000000003</v>
      </c>
      <c r="P49" s="4">
        <v>33.759</v>
      </c>
      <c r="Q49" s="4">
        <v>34.1</v>
      </c>
      <c r="R49" s="4">
        <v>43.307000000000002</v>
      </c>
      <c r="S49" s="4">
        <v>43.307000000000002</v>
      </c>
      <c r="T49" s="4">
        <v>43.307000000000002</v>
      </c>
      <c r="U49" s="4">
        <v>43.307000000000002</v>
      </c>
      <c r="V49" s="4" t="s">
        <v>594</v>
      </c>
      <c r="W49" s="4">
        <v>147</v>
      </c>
      <c r="X49" s="7" t="s">
        <v>649</v>
      </c>
    </row>
    <row r="50" spans="1:24" ht="15" x14ac:dyDescent="0.25">
      <c r="A50" s="4" t="s">
        <v>598</v>
      </c>
      <c r="B50" s="4" t="s">
        <v>908</v>
      </c>
      <c r="C50" s="4" t="s">
        <v>640</v>
      </c>
      <c r="D50" s="4">
        <v>6.9</v>
      </c>
      <c r="E50" s="4">
        <v>13</v>
      </c>
      <c r="F50" s="4">
        <v>1.8840579710144927</v>
      </c>
      <c r="G50" s="4">
        <v>52.7</v>
      </c>
      <c r="H50" s="4">
        <v>7.63768115942029</v>
      </c>
      <c r="I50" s="4">
        <v>27.900000000000002</v>
      </c>
      <c r="J50" s="4">
        <v>4.0434782608695654</v>
      </c>
      <c r="K50" s="4">
        <v>32.550000000000004</v>
      </c>
      <c r="L50" s="4">
        <v>4.7173913043478262</v>
      </c>
      <c r="M50" s="4">
        <v>18.600000000000001</v>
      </c>
      <c r="N50" s="4">
        <v>2.6956521739130435</v>
      </c>
      <c r="O50" s="4">
        <v>60.605000000000004</v>
      </c>
      <c r="P50" s="4">
        <v>52.173000000000002</v>
      </c>
      <c r="Q50" s="4">
        <v>52.7</v>
      </c>
      <c r="R50" s="4">
        <v>66.929000000000002</v>
      </c>
      <c r="S50" s="4">
        <v>66.929000000000002</v>
      </c>
      <c r="T50" s="4">
        <v>66.929000000000002</v>
      </c>
      <c r="U50" s="4">
        <v>66.929000000000002</v>
      </c>
      <c r="V50" s="4" t="s">
        <v>640</v>
      </c>
      <c r="W50" s="4">
        <v>144</v>
      </c>
      <c r="X50" s="7" t="s">
        <v>649</v>
      </c>
    </row>
    <row r="51" spans="1:24" ht="15" x14ac:dyDescent="0.25">
      <c r="A51" s="4" t="s">
        <v>563</v>
      </c>
      <c r="B51" s="4" t="s">
        <v>903</v>
      </c>
      <c r="C51" s="4" t="s">
        <v>639</v>
      </c>
      <c r="D51" s="4">
        <v>6</v>
      </c>
      <c r="E51" s="4">
        <v>9</v>
      </c>
      <c r="F51" s="4">
        <v>1.5</v>
      </c>
      <c r="G51" s="4">
        <v>72.599999999999994</v>
      </c>
      <c r="H51" s="4">
        <v>12.1</v>
      </c>
      <c r="I51" s="4">
        <v>50.82</v>
      </c>
      <c r="J51" s="4">
        <v>8.4700000000000006</v>
      </c>
      <c r="K51" s="4">
        <v>38.72</v>
      </c>
      <c r="L51" s="4">
        <v>6.4533333333333331</v>
      </c>
      <c r="M51" s="4">
        <v>16.939999999999998</v>
      </c>
      <c r="N51" s="4">
        <v>2.8233333333333328</v>
      </c>
      <c r="O51" s="4">
        <v>87.11999999999999</v>
      </c>
      <c r="P51" s="4">
        <v>72.599999999999994</v>
      </c>
      <c r="Q51" s="4">
        <v>70.421999999999997</v>
      </c>
      <c r="R51" s="4">
        <v>101.63999999999999</v>
      </c>
      <c r="S51" s="4">
        <v>101.63999999999999</v>
      </c>
      <c r="T51" s="4">
        <v>101.63999999999999</v>
      </c>
      <c r="U51" s="4">
        <v>101.63999999999999</v>
      </c>
      <c r="V51" s="4" t="s">
        <v>639</v>
      </c>
      <c r="W51" s="4">
        <v>213</v>
      </c>
      <c r="X51" s="7" t="s">
        <v>647</v>
      </c>
    </row>
    <row r="52" spans="1:24" ht="15" x14ac:dyDescent="0.25">
      <c r="A52" s="4" t="s">
        <v>562</v>
      </c>
      <c r="B52" s="4" t="s">
        <v>800</v>
      </c>
      <c r="C52" s="4" t="s">
        <v>594</v>
      </c>
      <c r="D52" s="4">
        <v>3</v>
      </c>
      <c r="E52" s="4">
        <v>5</v>
      </c>
      <c r="F52" s="4">
        <v>1.6666666666666667</v>
      </c>
      <c r="G52" s="4">
        <v>29.04</v>
      </c>
      <c r="H52" s="4">
        <v>9.68</v>
      </c>
      <c r="I52" s="4">
        <v>24.2</v>
      </c>
      <c r="J52" s="4">
        <v>8.0666666666666664</v>
      </c>
      <c r="K52" s="4">
        <v>19.36</v>
      </c>
      <c r="L52" s="4">
        <v>6.4533333333333331</v>
      </c>
      <c r="M52" s="4">
        <v>7.26</v>
      </c>
      <c r="N52" s="4">
        <v>2.42</v>
      </c>
      <c r="O52" s="4">
        <v>34.847999999999999</v>
      </c>
      <c r="P52" s="4">
        <v>29.04</v>
      </c>
      <c r="Q52" s="4">
        <v>28.168799999999997</v>
      </c>
      <c r="R52" s="4">
        <v>40.655999999999999</v>
      </c>
      <c r="S52" s="4">
        <v>40.655999999999999</v>
      </c>
      <c r="T52" s="4">
        <v>40.655999999999999</v>
      </c>
      <c r="U52" s="4">
        <v>40.655999999999999</v>
      </c>
      <c r="V52" s="4" t="s">
        <v>594</v>
      </c>
      <c r="W52" s="4">
        <v>214</v>
      </c>
      <c r="X52" s="7" t="s">
        <v>647</v>
      </c>
    </row>
    <row r="53" spans="1:24" ht="15" x14ac:dyDescent="0.25">
      <c r="A53" s="4" t="s">
        <v>565</v>
      </c>
      <c r="B53" s="4" t="s">
        <v>854</v>
      </c>
      <c r="C53" s="4" t="s">
        <v>640</v>
      </c>
      <c r="D53" s="4">
        <v>4.5999999999999899</v>
      </c>
      <c r="E53" s="4">
        <v>7</v>
      </c>
      <c r="F53" s="4">
        <v>1.521739130434786</v>
      </c>
      <c r="G53" s="4">
        <v>43.56</v>
      </c>
      <c r="H53" s="4">
        <v>9.4695652173913256</v>
      </c>
      <c r="I53" s="4">
        <v>33.879999999999995</v>
      </c>
      <c r="J53" s="4">
        <v>7.3652173913043635</v>
      </c>
      <c r="K53" s="4">
        <v>29.04</v>
      </c>
      <c r="L53" s="4">
        <v>6.3130434782608829</v>
      </c>
      <c r="M53" s="4">
        <v>12.1</v>
      </c>
      <c r="N53" s="4">
        <v>2.6304347826087016</v>
      </c>
      <c r="O53" s="4">
        <v>52.272000000000006</v>
      </c>
      <c r="P53" s="4">
        <v>43.56</v>
      </c>
      <c r="Q53" s="4">
        <v>42.2532</v>
      </c>
      <c r="R53" s="4">
        <v>60.984000000000002</v>
      </c>
      <c r="S53" s="4">
        <v>60.984000000000002</v>
      </c>
      <c r="T53" s="4">
        <v>60.984000000000002</v>
      </c>
      <c r="U53" s="4">
        <v>60.984000000000002</v>
      </c>
      <c r="V53" s="4" t="s">
        <v>640</v>
      </c>
      <c r="W53" s="4">
        <v>211</v>
      </c>
      <c r="X53" s="7" t="s">
        <v>647</v>
      </c>
    </row>
    <row r="54" spans="1:24" ht="15" x14ac:dyDescent="0.25">
      <c r="A54" s="4" t="s">
        <v>608</v>
      </c>
      <c r="B54" s="4" t="s">
        <v>918</v>
      </c>
      <c r="C54" s="4" t="s">
        <v>639</v>
      </c>
      <c r="D54" s="4">
        <v>12.5</v>
      </c>
      <c r="E54" s="4">
        <v>20</v>
      </c>
      <c r="F54" s="4">
        <v>1.6</v>
      </c>
      <c r="G54" s="4">
        <v>96.8</v>
      </c>
      <c r="H54" s="4">
        <v>7.7439999999999998</v>
      </c>
      <c r="I54" s="4">
        <v>55.66</v>
      </c>
      <c r="J54" s="4">
        <v>4.4527999999999999</v>
      </c>
      <c r="K54" s="4">
        <v>50.82</v>
      </c>
      <c r="L54" s="4">
        <v>4.0655999999999999</v>
      </c>
      <c r="M54" s="4">
        <v>36.299999999999997</v>
      </c>
      <c r="N54" s="4">
        <v>2.9039999999999999</v>
      </c>
      <c r="O54" s="4">
        <v>111.32</v>
      </c>
      <c r="P54" s="4">
        <v>96.8</v>
      </c>
      <c r="Q54" s="4">
        <v>96.8</v>
      </c>
      <c r="R54" s="4">
        <v>135.51999999999998</v>
      </c>
      <c r="S54" s="4">
        <v>135.51999999999998</v>
      </c>
      <c r="T54" s="4">
        <v>135.51999999999998</v>
      </c>
      <c r="U54" s="4">
        <v>135.51999999999998</v>
      </c>
      <c r="V54" s="4" t="s">
        <v>639</v>
      </c>
      <c r="W54" s="4">
        <v>166</v>
      </c>
      <c r="X54" s="7" t="s">
        <v>647</v>
      </c>
    </row>
    <row r="55" spans="1:24" ht="15" x14ac:dyDescent="0.25">
      <c r="A55" s="4" t="s">
        <v>609</v>
      </c>
      <c r="B55" s="4" t="s">
        <v>882</v>
      </c>
      <c r="C55" s="4" t="s">
        <v>938</v>
      </c>
      <c r="D55" s="4">
        <v>7.4</v>
      </c>
      <c r="E55" s="4">
        <v>12</v>
      </c>
      <c r="F55" s="4">
        <v>1.6216216216216215</v>
      </c>
      <c r="G55" s="4">
        <v>58.08</v>
      </c>
      <c r="H55" s="4">
        <v>7.8486486486486484</v>
      </c>
      <c r="I55" s="4">
        <v>31.46</v>
      </c>
      <c r="J55" s="4">
        <v>4.2513513513513512</v>
      </c>
      <c r="K55" s="4">
        <v>29.04</v>
      </c>
      <c r="L55" s="4">
        <v>3.9243243243243242</v>
      </c>
      <c r="M55" s="4">
        <v>21.78</v>
      </c>
      <c r="N55" s="4">
        <v>2.9432432432432432</v>
      </c>
      <c r="O55" s="4">
        <v>66.792000000000002</v>
      </c>
      <c r="P55" s="4">
        <v>58.08</v>
      </c>
      <c r="Q55" s="4">
        <v>58.08</v>
      </c>
      <c r="R55" s="4">
        <v>81.311999999999998</v>
      </c>
      <c r="S55" s="4">
        <v>81.311999999999998</v>
      </c>
      <c r="T55" s="4">
        <v>81.311999999999998</v>
      </c>
      <c r="U55" s="4">
        <v>81.311999999999998</v>
      </c>
      <c r="V55" s="4" t="s">
        <v>938</v>
      </c>
      <c r="W55" s="4">
        <v>165</v>
      </c>
      <c r="X55" s="7" t="s">
        <v>647</v>
      </c>
    </row>
    <row r="56" spans="1:24" ht="15" x14ac:dyDescent="0.25">
      <c r="A56" s="4" t="s">
        <v>607</v>
      </c>
      <c r="B56" s="4" t="s">
        <v>837</v>
      </c>
      <c r="C56" s="4" t="s">
        <v>594</v>
      </c>
      <c r="D56" s="4">
        <v>4.8</v>
      </c>
      <c r="E56" s="4">
        <v>8</v>
      </c>
      <c r="F56" s="4">
        <v>1.6666666666666667</v>
      </c>
      <c r="G56" s="4">
        <v>36.299999999999997</v>
      </c>
      <c r="H56" s="4">
        <v>7.5625</v>
      </c>
      <c r="I56" s="4">
        <v>21.78</v>
      </c>
      <c r="J56" s="4">
        <v>4.5375000000000005</v>
      </c>
      <c r="K56" s="4">
        <v>19.36</v>
      </c>
      <c r="L56" s="4">
        <v>4.0333333333333332</v>
      </c>
      <c r="M56" s="4">
        <v>14.52</v>
      </c>
      <c r="N56" s="4">
        <v>3.0249999999999999</v>
      </c>
      <c r="O56" s="4">
        <v>41.744999999999997</v>
      </c>
      <c r="P56" s="4">
        <v>36.299999999999997</v>
      </c>
      <c r="Q56" s="4">
        <v>36.299999999999997</v>
      </c>
      <c r="R56" s="4">
        <v>50.819999999999993</v>
      </c>
      <c r="S56" s="4">
        <v>50.819999999999993</v>
      </c>
      <c r="T56" s="4">
        <v>50.819999999999993</v>
      </c>
      <c r="U56" s="4">
        <v>50.819999999999993</v>
      </c>
      <c r="V56" s="4" t="s">
        <v>594</v>
      </c>
      <c r="W56" s="4">
        <v>167</v>
      </c>
      <c r="X56" s="7" t="s">
        <v>647</v>
      </c>
    </row>
    <row r="57" spans="1:24" ht="15" x14ac:dyDescent="0.25">
      <c r="A57" s="4" t="s">
        <v>610</v>
      </c>
      <c r="B57" s="4" t="s">
        <v>881</v>
      </c>
      <c r="C57" s="4" t="s">
        <v>640</v>
      </c>
      <c r="D57" s="4">
        <v>7.4</v>
      </c>
      <c r="E57" s="4">
        <v>12</v>
      </c>
      <c r="F57" s="4">
        <v>1.6216216216216215</v>
      </c>
      <c r="G57" s="4">
        <v>58.08</v>
      </c>
      <c r="H57" s="4">
        <v>7.8486486486486484</v>
      </c>
      <c r="I57" s="4">
        <v>31.46</v>
      </c>
      <c r="J57" s="4">
        <v>4.2513513513513512</v>
      </c>
      <c r="K57" s="4">
        <v>29.04</v>
      </c>
      <c r="L57" s="4">
        <v>3.9243243243243242</v>
      </c>
      <c r="M57" s="4">
        <v>21.78</v>
      </c>
      <c r="N57" s="4">
        <v>2.9432432432432432</v>
      </c>
      <c r="O57" s="4">
        <v>66.792000000000002</v>
      </c>
      <c r="P57" s="4">
        <v>58.08</v>
      </c>
      <c r="Q57" s="4">
        <v>58.08</v>
      </c>
      <c r="R57" s="4">
        <v>81.311999999999998</v>
      </c>
      <c r="S57" s="4">
        <v>81.311999999999998</v>
      </c>
      <c r="T57" s="4">
        <v>81.311999999999998</v>
      </c>
      <c r="U57" s="4">
        <v>81.311999999999998</v>
      </c>
      <c r="V57" s="4" t="s">
        <v>640</v>
      </c>
      <c r="W57" s="4">
        <v>164</v>
      </c>
      <c r="X57" s="7" t="s">
        <v>647</v>
      </c>
    </row>
    <row r="58" spans="1:24" ht="15" x14ac:dyDescent="0.25">
      <c r="A58" s="4" t="s">
        <v>379</v>
      </c>
      <c r="B58" s="4" t="s">
        <v>775</v>
      </c>
      <c r="C58" s="4" t="s">
        <v>938</v>
      </c>
      <c r="D58" s="4">
        <v>0.8</v>
      </c>
      <c r="E58" s="4">
        <v>0</v>
      </c>
      <c r="F58" s="4">
        <v>0</v>
      </c>
      <c r="G58" s="4">
        <v>10.85</v>
      </c>
      <c r="H58" s="4">
        <v>13.562499999999998</v>
      </c>
      <c r="I58" s="4">
        <v>10.85</v>
      </c>
      <c r="J58" s="4">
        <v>13.562499999999998</v>
      </c>
      <c r="K58" s="4">
        <v>6.2</v>
      </c>
      <c r="L58" s="4">
        <v>7.75</v>
      </c>
      <c r="M58" s="4">
        <v>7.75</v>
      </c>
      <c r="N58" s="4">
        <v>9.6875</v>
      </c>
      <c r="O58" s="4">
        <v>10.85</v>
      </c>
      <c r="P58" s="4">
        <v>11.934999999999999</v>
      </c>
      <c r="Q58" s="4">
        <v>10.85</v>
      </c>
      <c r="R58" s="4">
        <v>13.779500000000001</v>
      </c>
      <c r="S58" s="4">
        <v>13.779500000000001</v>
      </c>
      <c r="T58" s="4">
        <v>13.779500000000001</v>
      </c>
      <c r="U58" s="4">
        <v>13.779500000000001</v>
      </c>
      <c r="V58" s="4" t="s">
        <v>938</v>
      </c>
      <c r="W58" s="4">
        <v>128</v>
      </c>
      <c r="X58" s="7" t="s">
        <v>649</v>
      </c>
    </row>
    <row r="59" spans="1:24" ht="15" x14ac:dyDescent="0.25">
      <c r="A59" s="4" t="s">
        <v>378</v>
      </c>
      <c r="B59" s="4" t="s">
        <v>906</v>
      </c>
      <c r="C59" s="4" t="s">
        <v>639</v>
      </c>
      <c r="D59" s="4">
        <v>3.9</v>
      </c>
      <c r="E59" s="4">
        <v>0</v>
      </c>
      <c r="F59" s="4">
        <v>0</v>
      </c>
      <c r="G59" s="4">
        <v>49.6</v>
      </c>
      <c r="H59" s="4">
        <v>12.717948717948719</v>
      </c>
      <c r="I59" s="4">
        <v>51.15</v>
      </c>
      <c r="J59" s="4">
        <v>13.115384615384615</v>
      </c>
      <c r="K59" s="4">
        <v>29.45</v>
      </c>
      <c r="L59" s="4">
        <v>7.5512820512820511</v>
      </c>
      <c r="M59" s="4">
        <v>37.200000000000003</v>
      </c>
      <c r="N59" s="4">
        <v>9.5384615384615401</v>
      </c>
      <c r="O59" s="4">
        <v>49.6</v>
      </c>
      <c r="P59" s="4">
        <v>54.56</v>
      </c>
      <c r="Q59" s="4">
        <v>49.6</v>
      </c>
      <c r="R59" s="4">
        <v>62.992000000000004</v>
      </c>
      <c r="S59" s="4">
        <v>62.992000000000004</v>
      </c>
      <c r="T59" s="4">
        <v>62.992000000000004</v>
      </c>
      <c r="U59" s="4">
        <v>62.992000000000004</v>
      </c>
      <c r="V59" s="4" t="s">
        <v>639</v>
      </c>
      <c r="W59" s="4">
        <v>129</v>
      </c>
      <c r="X59" s="7" t="s">
        <v>649</v>
      </c>
    </row>
    <row r="60" spans="1:24" ht="15" x14ac:dyDescent="0.25">
      <c r="A60" s="4" t="s">
        <v>380</v>
      </c>
      <c r="B60" s="4" t="s">
        <v>901</v>
      </c>
      <c r="C60" s="4" t="s">
        <v>640</v>
      </c>
      <c r="D60" s="4">
        <v>3.5</v>
      </c>
      <c r="E60" s="4">
        <v>0</v>
      </c>
      <c r="F60" s="4">
        <v>0</v>
      </c>
      <c r="G60" s="4">
        <v>44.95</v>
      </c>
      <c r="H60" s="4">
        <v>12.842857142857143</v>
      </c>
      <c r="I60" s="4">
        <v>44.95</v>
      </c>
      <c r="J60" s="4">
        <v>12.842857142857143</v>
      </c>
      <c r="K60" s="4">
        <v>26.35</v>
      </c>
      <c r="L60" s="4">
        <v>7.5285714285714294</v>
      </c>
      <c r="M60" s="4">
        <v>32.550000000000004</v>
      </c>
      <c r="N60" s="4">
        <v>9.3000000000000007</v>
      </c>
      <c r="O60" s="4">
        <v>44.95</v>
      </c>
      <c r="P60" s="4">
        <v>49.445</v>
      </c>
      <c r="Q60" s="4">
        <v>44.95</v>
      </c>
      <c r="R60" s="4">
        <v>57.086500000000001</v>
      </c>
      <c r="S60" s="4">
        <v>57.086500000000001</v>
      </c>
      <c r="T60" s="4">
        <v>57.086500000000001</v>
      </c>
      <c r="U60" s="4">
        <v>57.086500000000001</v>
      </c>
      <c r="V60" s="4" t="s">
        <v>640</v>
      </c>
      <c r="W60" s="4">
        <v>127</v>
      </c>
      <c r="X60" s="7" t="s">
        <v>649</v>
      </c>
    </row>
    <row r="61" spans="1:24" ht="15" x14ac:dyDescent="0.25">
      <c r="A61" s="4" t="s">
        <v>346</v>
      </c>
      <c r="B61" s="4" t="s">
        <v>346</v>
      </c>
      <c r="C61" s="4" t="s">
        <v>594</v>
      </c>
      <c r="D61" s="4">
        <v>0.4</v>
      </c>
      <c r="E61" s="4">
        <v>0</v>
      </c>
      <c r="F61" s="4">
        <v>0</v>
      </c>
      <c r="G61" s="4">
        <v>5</v>
      </c>
      <c r="H61" s="4">
        <v>12.5</v>
      </c>
      <c r="I61" s="4">
        <v>11</v>
      </c>
      <c r="J61" s="4">
        <v>27.5</v>
      </c>
      <c r="K61" s="4">
        <v>2</v>
      </c>
      <c r="L61" s="4">
        <v>5</v>
      </c>
      <c r="M61" s="4">
        <v>6</v>
      </c>
      <c r="N61" s="4">
        <v>15</v>
      </c>
      <c r="O61" s="4">
        <v>5</v>
      </c>
      <c r="P61" s="4">
        <v>5</v>
      </c>
      <c r="Q61" s="4">
        <v>5</v>
      </c>
      <c r="R61" s="4">
        <v>5</v>
      </c>
      <c r="S61" s="4">
        <v>5</v>
      </c>
      <c r="T61" s="4">
        <v>5</v>
      </c>
      <c r="U61" s="4">
        <v>5</v>
      </c>
      <c r="V61" s="4" t="s">
        <v>594</v>
      </c>
      <c r="W61" s="4">
        <v>125</v>
      </c>
      <c r="X61" s="7" t="s">
        <v>935</v>
      </c>
    </row>
    <row r="62" spans="1:24" ht="15" x14ac:dyDescent="0.25">
      <c r="A62" s="4" t="s">
        <v>627</v>
      </c>
      <c r="B62" s="4" t="s">
        <v>627</v>
      </c>
      <c r="C62" s="4" t="s">
        <v>594</v>
      </c>
      <c r="D62" s="4">
        <v>3</v>
      </c>
      <c r="E62" s="4">
        <v>0</v>
      </c>
      <c r="F62" s="4">
        <v>0</v>
      </c>
      <c r="G62" s="4">
        <v>12</v>
      </c>
      <c r="H62" s="4">
        <v>4</v>
      </c>
      <c r="I62" s="4">
        <v>12</v>
      </c>
      <c r="J62" s="4">
        <v>4</v>
      </c>
      <c r="K62" s="4">
        <v>6</v>
      </c>
      <c r="L62" s="4">
        <v>2</v>
      </c>
      <c r="M62" s="4">
        <v>6</v>
      </c>
      <c r="N62" s="4">
        <v>2</v>
      </c>
      <c r="O62" s="4">
        <v>12</v>
      </c>
      <c r="P62" s="4">
        <v>12</v>
      </c>
      <c r="Q62" s="4">
        <v>12</v>
      </c>
      <c r="R62" s="4">
        <v>12</v>
      </c>
      <c r="S62" s="4">
        <v>12</v>
      </c>
      <c r="T62" s="4">
        <v>12</v>
      </c>
      <c r="U62" s="4">
        <v>12</v>
      </c>
      <c r="V62" s="4" t="s">
        <v>594</v>
      </c>
      <c r="W62" s="4">
        <v>43</v>
      </c>
      <c r="X62" s="7" t="s">
        <v>935</v>
      </c>
    </row>
    <row r="63" spans="1:24" ht="15" x14ac:dyDescent="0.25">
      <c r="A63" s="4" t="s">
        <v>631</v>
      </c>
      <c r="B63" s="4" t="s">
        <v>631</v>
      </c>
      <c r="C63" s="4" t="s">
        <v>594</v>
      </c>
      <c r="D63" s="4">
        <v>3</v>
      </c>
      <c r="E63" s="4">
        <v>0</v>
      </c>
      <c r="F63" s="4">
        <v>0</v>
      </c>
      <c r="G63" s="4">
        <v>16</v>
      </c>
      <c r="H63" s="4">
        <v>5.333333333333333</v>
      </c>
      <c r="I63" s="4">
        <v>16</v>
      </c>
      <c r="J63" s="4">
        <v>5.333333333333333</v>
      </c>
      <c r="K63" s="4">
        <v>21</v>
      </c>
      <c r="L63" s="4">
        <v>7</v>
      </c>
      <c r="M63" s="4">
        <v>21</v>
      </c>
      <c r="N63" s="4">
        <v>7</v>
      </c>
      <c r="O63" s="4">
        <v>18.399999999999999</v>
      </c>
      <c r="P63" s="4">
        <v>17.28</v>
      </c>
      <c r="Q63" s="4">
        <v>14.72</v>
      </c>
      <c r="R63" s="4">
        <v>16</v>
      </c>
      <c r="S63" s="4">
        <v>16</v>
      </c>
      <c r="T63" s="4">
        <v>16</v>
      </c>
      <c r="U63" s="4">
        <v>16</v>
      </c>
      <c r="V63" s="4" t="s">
        <v>594</v>
      </c>
      <c r="W63" s="4">
        <v>39</v>
      </c>
      <c r="X63" s="7" t="s">
        <v>935</v>
      </c>
    </row>
    <row r="64" spans="1:24" ht="15" x14ac:dyDescent="0.25">
      <c r="A64" s="4" t="s">
        <v>459</v>
      </c>
      <c r="B64" s="4" t="s">
        <v>459</v>
      </c>
      <c r="C64" s="4" t="s">
        <v>639</v>
      </c>
      <c r="D64" s="4">
        <v>10.9</v>
      </c>
      <c r="E64" s="4">
        <v>16</v>
      </c>
      <c r="F64" s="4">
        <v>1.4678899082568806</v>
      </c>
      <c r="G64" s="4">
        <v>59</v>
      </c>
      <c r="H64" s="4">
        <v>5.4128440366972477</v>
      </c>
      <c r="I64" s="4">
        <v>21</v>
      </c>
      <c r="J64" s="4">
        <v>1.926605504587156</v>
      </c>
      <c r="K64" s="4">
        <v>15</v>
      </c>
      <c r="L64" s="4">
        <v>1.3761467889908257</v>
      </c>
      <c r="M64" s="4">
        <v>7</v>
      </c>
      <c r="N64" s="4">
        <v>0.64220183486238525</v>
      </c>
      <c r="O64" s="4">
        <v>67.849999999999994</v>
      </c>
      <c r="P64" s="4">
        <v>50.15</v>
      </c>
      <c r="Q64" s="4">
        <v>59</v>
      </c>
      <c r="R64" s="4">
        <v>59</v>
      </c>
      <c r="S64" s="4">
        <v>59</v>
      </c>
      <c r="T64" s="4">
        <v>59</v>
      </c>
      <c r="U64" s="4">
        <v>59</v>
      </c>
      <c r="V64" s="4" t="s">
        <v>639</v>
      </c>
      <c r="W64" s="4">
        <v>142</v>
      </c>
      <c r="X64" s="7" t="s">
        <v>935</v>
      </c>
    </row>
    <row r="65" spans="1:24" ht="15" x14ac:dyDescent="0.25">
      <c r="A65" s="4" t="s">
        <v>460</v>
      </c>
      <c r="B65" s="4" t="s">
        <v>460</v>
      </c>
      <c r="C65" s="4" t="s">
        <v>938</v>
      </c>
      <c r="D65" s="4">
        <v>6.4</v>
      </c>
      <c r="E65" s="4">
        <v>9</v>
      </c>
      <c r="F65" s="4">
        <v>1.40625</v>
      </c>
      <c r="G65" s="4">
        <v>37</v>
      </c>
      <c r="H65" s="4">
        <v>5.78125</v>
      </c>
      <c r="I65" s="4">
        <v>12</v>
      </c>
      <c r="J65" s="4">
        <v>1.875</v>
      </c>
      <c r="K65" s="4">
        <v>9</v>
      </c>
      <c r="L65" s="4">
        <v>1.40625</v>
      </c>
      <c r="M65" s="4">
        <v>4</v>
      </c>
      <c r="N65" s="4">
        <v>0.625</v>
      </c>
      <c r="O65" s="4">
        <v>42.55</v>
      </c>
      <c r="P65" s="4">
        <v>31.45</v>
      </c>
      <c r="Q65" s="4">
        <v>37</v>
      </c>
      <c r="R65" s="4">
        <v>37</v>
      </c>
      <c r="S65" s="4">
        <v>37</v>
      </c>
      <c r="T65" s="4">
        <v>37</v>
      </c>
      <c r="U65" s="4">
        <v>37</v>
      </c>
      <c r="V65" s="4" t="s">
        <v>938</v>
      </c>
      <c r="W65" s="4">
        <v>141</v>
      </c>
      <c r="X65" s="7" t="s">
        <v>935</v>
      </c>
    </row>
    <row r="66" spans="1:24" ht="15" x14ac:dyDescent="0.25">
      <c r="A66" s="4" t="s">
        <v>458</v>
      </c>
      <c r="B66" s="4" t="s">
        <v>458</v>
      </c>
      <c r="C66" s="4" t="s">
        <v>594</v>
      </c>
      <c r="D66" s="4">
        <v>4.2</v>
      </c>
      <c r="E66" s="4">
        <v>6</v>
      </c>
      <c r="F66" s="4">
        <v>1.4285714285714286</v>
      </c>
      <c r="G66" s="4">
        <v>25</v>
      </c>
      <c r="H66" s="4">
        <v>5.9523809523809526</v>
      </c>
      <c r="I66" s="4">
        <v>8</v>
      </c>
      <c r="J66" s="4">
        <v>1.9047619047619047</v>
      </c>
      <c r="K66" s="4">
        <v>6</v>
      </c>
      <c r="L66" s="4">
        <v>1.4285714285714286</v>
      </c>
      <c r="M66" s="4">
        <v>2</v>
      </c>
      <c r="N66" s="4">
        <v>0.47619047619047616</v>
      </c>
      <c r="O66" s="4">
        <v>28.75</v>
      </c>
      <c r="P66" s="4">
        <v>21.25</v>
      </c>
      <c r="Q66" s="4">
        <v>25</v>
      </c>
      <c r="R66" s="4">
        <v>25</v>
      </c>
      <c r="S66" s="4">
        <v>25</v>
      </c>
      <c r="T66" s="4">
        <v>25</v>
      </c>
      <c r="U66" s="4">
        <v>25</v>
      </c>
      <c r="V66" s="4" t="s">
        <v>594</v>
      </c>
      <c r="W66" s="4">
        <v>143</v>
      </c>
      <c r="X66" s="7" t="s">
        <v>935</v>
      </c>
    </row>
    <row r="67" spans="1:24" ht="15" x14ac:dyDescent="0.25">
      <c r="A67" s="4" t="s">
        <v>461</v>
      </c>
      <c r="B67" s="4" t="s">
        <v>461</v>
      </c>
      <c r="C67" s="4" t="s">
        <v>640</v>
      </c>
      <c r="D67" s="4">
        <v>6.4</v>
      </c>
      <c r="E67" s="4">
        <v>9</v>
      </c>
      <c r="F67" s="4">
        <v>1.40625</v>
      </c>
      <c r="G67" s="4">
        <v>37</v>
      </c>
      <c r="H67" s="4">
        <v>5.78125</v>
      </c>
      <c r="I67" s="4">
        <v>12</v>
      </c>
      <c r="J67" s="4">
        <v>1.875</v>
      </c>
      <c r="K67" s="4">
        <v>9</v>
      </c>
      <c r="L67" s="4">
        <v>1.40625</v>
      </c>
      <c r="M67" s="4">
        <v>4</v>
      </c>
      <c r="N67" s="4">
        <v>0.625</v>
      </c>
      <c r="O67" s="4">
        <v>42.55</v>
      </c>
      <c r="P67" s="4">
        <v>31.45</v>
      </c>
      <c r="Q67" s="4">
        <v>37</v>
      </c>
      <c r="R67" s="4">
        <v>37</v>
      </c>
      <c r="S67" s="4">
        <v>37</v>
      </c>
      <c r="T67" s="4">
        <v>37</v>
      </c>
      <c r="U67" s="4">
        <v>37</v>
      </c>
      <c r="V67" s="4" t="s">
        <v>640</v>
      </c>
      <c r="W67" s="4">
        <v>140</v>
      </c>
      <c r="X67" s="7" t="s">
        <v>935</v>
      </c>
    </row>
    <row r="68" spans="1:24" ht="15" x14ac:dyDescent="0.25">
      <c r="A68" s="4" t="s">
        <v>251</v>
      </c>
      <c r="B68" s="4" t="s">
        <v>925</v>
      </c>
      <c r="C68" s="4" t="s">
        <v>639</v>
      </c>
      <c r="D68" s="4">
        <v>9.8000000000000007</v>
      </c>
      <c r="E68" s="4">
        <v>16</v>
      </c>
      <c r="F68" s="4">
        <v>1.6326530612244896</v>
      </c>
      <c r="G68" s="4">
        <v>69.75</v>
      </c>
      <c r="H68" s="4">
        <v>7.1173469387755093</v>
      </c>
      <c r="I68" s="4">
        <v>46.5</v>
      </c>
      <c r="J68" s="4">
        <v>4.7448979591836729</v>
      </c>
      <c r="K68" s="4">
        <v>48.050000000000004</v>
      </c>
      <c r="L68" s="4">
        <v>4.9030612244897958</v>
      </c>
      <c r="M68" s="4">
        <v>41.85</v>
      </c>
      <c r="N68" s="4">
        <v>4.2704081632653059</v>
      </c>
      <c r="O68" s="4">
        <v>76.724999999999994</v>
      </c>
      <c r="P68" s="4">
        <v>69.75</v>
      </c>
      <c r="Q68" s="4">
        <v>65.564999999999998</v>
      </c>
      <c r="R68" s="4">
        <v>88.582499999999996</v>
      </c>
      <c r="S68" s="4">
        <v>88.582499999999996</v>
      </c>
      <c r="T68" s="4">
        <v>88.582499999999996</v>
      </c>
      <c r="U68" s="4">
        <v>88.582499999999996</v>
      </c>
      <c r="V68" s="4" t="s">
        <v>639</v>
      </c>
      <c r="W68" s="4">
        <v>34</v>
      </c>
      <c r="X68" s="7" t="s">
        <v>649</v>
      </c>
    </row>
    <row r="69" spans="1:24" ht="15" x14ac:dyDescent="0.25">
      <c r="A69" s="4" t="s">
        <v>252</v>
      </c>
      <c r="B69" s="4" t="s">
        <v>896</v>
      </c>
      <c r="C69" s="4" t="s">
        <v>938</v>
      </c>
      <c r="D69" s="4">
        <v>5.8</v>
      </c>
      <c r="E69" s="4">
        <v>9</v>
      </c>
      <c r="F69" s="4">
        <v>1.5517241379310345</v>
      </c>
      <c r="G69" s="4">
        <v>41.85</v>
      </c>
      <c r="H69" s="4">
        <v>7.2155172413793105</v>
      </c>
      <c r="I69" s="4">
        <v>27.900000000000002</v>
      </c>
      <c r="J69" s="4">
        <v>4.8103448275862073</v>
      </c>
      <c r="K69" s="4">
        <v>27.900000000000002</v>
      </c>
      <c r="L69" s="4">
        <v>4.8103448275862073</v>
      </c>
      <c r="M69" s="4">
        <v>23.25</v>
      </c>
      <c r="N69" s="4">
        <v>4.0086206896551726</v>
      </c>
      <c r="O69" s="4">
        <v>46.035000000000004</v>
      </c>
      <c r="P69" s="4">
        <v>41.85</v>
      </c>
      <c r="Q69" s="4">
        <v>39.338999999999999</v>
      </c>
      <c r="R69" s="4">
        <v>53.149500000000003</v>
      </c>
      <c r="S69" s="4">
        <v>53.149500000000003</v>
      </c>
      <c r="T69" s="4">
        <v>53.149500000000003</v>
      </c>
      <c r="U69" s="4">
        <v>53.149500000000003</v>
      </c>
      <c r="V69" s="4" t="s">
        <v>938</v>
      </c>
      <c r="W69" s="4">
        <v>33</v>
      </c>
      <c r="X69" s="7" t="s">
        <v>649</v>
      </c>
    </row>
    <row r="70" spans="1:24" ht="15" x14ac:dyDescent="0.25">
      <c r="A70" s="4" t="s">
        <v>253</v>
      </c>
      <c r="B70" s="4" t="s">
        <v>895</v>
      </c>
      <c r="C70" s="4" t="s">
        <v>640</v>
      </c>
      <c r="D70" s="4">
        <v>5.8</v>
      </c>
      <c r="E70" s="4">
        <v>9</v>
      </c>
      <c r="F70" s="4">
        <v>1.5517241379310345</v>
      </c>
      <c r="G70" s="4">
        <v>41.85</v>
      </c>
      <c r="H70" s="4">
        <v>7.2155172413793105</v>
      </c>
      <c r="I70" s="4">
        <v>27.900000000000002</v>
      </c>
      <c r="J70" s="4">
        <v>4.8103448275862073</v>
      </c>
      <c r="K70" s="4">
        <v>27.900000000000002</v>
      </c>
      <c r="L70" s="4">
        <v>4.8103448275862073</v>
      </c>
      <c r="M70" s="4">
        <v>23.25</v>
      </c>
      <c r="N70" s="4">
        <v>4.0086206896551726</v>
      </c>
      <c r="O70" s="4">
        <v>46.035000000000004</v>
      </c>
      <c r="P70" s="4">
        <v>41.85</v>
      </c>
      <c r="Q70" s="4">
        <v>39.338999999999999</v>
      </c>
      <c r="R70" s="4">
        <v>53.149500000000003</v>
      </c>
      <c r="S70" s="4">
        <v>53.149500000000003</v>
      </c>
      <c r="T70" s="4">
        <v>53.149500000000003</v>
      </c>
      <c r="U70" s="4">
        <v>53.149500000000003</v>
      </c>
      <c r="V70" s="4" t="s">
        <v>640</v>
      </c>
      <c r="W70" s="4">
        <v>32</v>
      </c>
      <c r="X70" s="7" t="s">
        <v>649</v>
      </c>
    </row>
    <row r="71" spans="1:24" ht="15" x14ac:dyDescent="0.25">
      <c r="A71" s="4" t="s">
        <v>250</v>
      </c>
      <c r="B71" s="4" t="s">
        <v>852</v>
      </c>
      <c r="C71" s="4" t="s">
        <v>594</v>
      </c>
      <c r="D71" s="4">
        <v>3.8</v>
      </c>
      <c r="E71" s="4">
        <v>6</v>
      </c>
      <c r="F71" s="4">
        <v>1.5789473684210527</v>
      </c>
      <c r="G71" s="4">
        <v>27.900000000000002</v>
      </c>
      <c r="H71" s="4">
        <v>7.3421052631578956</v>
      </c>
      <c r="I71" s="4">
        <v>18.600000000000001</v>
      </c>
      <c r="J71" s="4">
        <v>4.8947368421052637</v>
      </c>
      <c r="K71" s="4">
        <v>18.600000000000001</v>
      </c>
      <c r="L71" s="4">
        <v>4.8947368421052637</v>
      </c>
      <c r="M71" s="4">
        <v>15.5</v>
      </c>
      <c r="N71" s="4">
        <v>4.0789473684210531</v>
      </c>
      <c r="O71" s="4">
        <v>30.69</v>
      </c>
      <c r="P71" s="4">
        <v>27.900000000000002</v>
      </c>
      <c r="Q71" s="4">
        <v>26.226000000000003</v>
      </c>
      <c r="R71" s="4">
        <v>35.433</v>
      </c>
      <c r="S71" s="4">
        <v>35.433</v>
      </c>
      <c r="T71" s="4">
        <v>35.433</v>
      </c>
      <c r="U71" s="4">
        <v>35.433</v>
      </c>
      <c r="V71" s="4" t="s">
        <v>594</v>
      </c>
      <c r="W71" s="4">
        <v>35</v>
      </c>
      <c r="X71" s="7" t="s">
        <v>649</v>
      </c>
    </row>
    <row r="72" spans="1:24" ht="15" x14ac:dyDescent="0.25">
      <c r="A72" s="4" t="s">
        <v>256</v>
      </c>
      <c r="B72" s="4" t="s">
        <v>789</v>
      </c>
      <c r="C72" s="4" t="s">
        <v>938</v>
      </c>
      <c r="D72" s="4">
        <v>1.2</v>
      </c>
      <c r="E72" s="4">
        <v>0</v>
      </c>
      <c r="F72" s="4">
        <v>0</v>
      </c>
      <c r="G72" s="4">
        <v>21.78</v>
      </c>
      <c r="H72" s="4">
        <v>18.150000000000002</v>
      </c>
      <c r="I72" s="4">
        <v>31.46</v>
      </c>
      <c r="J72" s="4">
        <v>26.216666666666669</v>
      </c>
      <c r="K72" s="4">
        <v>19.36</v>
      </c>
      <c r="L72" s="4">
        <v>16.133333333333333</v>
      </c>
      <c r="M72" s="4">
        <v>24.2</v>
      </c>
      <c r="N72" s="4">
        <v>20.166666666666668</v>
      </c>
      <c r="O72" s="4">
        <v>21.78</v>
      </c>
      <c r="P72" s="4">
        <v>27.225000000000001</v>
      </c>
      <c r="Q72" s="4">
        <v>21.78</v>
      </c>
      <c r="R72" s="4">
        <v>30.492000000000001</v>
      </c>
      <c r="S72" s="4">
        <v>30.492000000000001</v>
      </c>
      <c r="T72" s="4">
        <v>30.492000000000001</v>
      </c>
      <c r="U72" s="4">
        <v>30.492000000000001</v>
      </c>
      <c r="V72" s="4" t="s">
        <v>938</v>
      </c>
      <c r="W72" s="4">
        <v>104</v>
      </c>
      <c r="X72" s="7" t="s">
        <v>647</v>
      </c>
    </row>
    <row r="73" spans="1:24" ht="15" x14ac:dyDescent="0.25">
      <c r="A73" s="4" t="s">
        <v>254</v>
      </c>
      <c r="B73" s="4" t="s">
        <v>774</v>
      </c>
      <c r="C73" s="4" t="s">
        <v>594</v>
      </c>
      <c r="D73" s="4">
        <v>0.8</v>
      </c>
      <c r="E73" s="4">
        <v>0</v>
      </c>
      <c r="F73" s="4">
        <v>0</v>
      </c>
      <c r="G73" s="4">
        <v>14.52</v>
      </c>
      <c r="H73" s="4">
        <v>18.149999999999999</v>
      </c>
      <c r="I73" s="4">
        <v>19.36</v>
      </c>
      <c r="J73" s="4">
        <v>24.2</v>
      </c>
      <c r="K73" s="4">
        <v>12.1</v>
      </c>
      <c r="L73" s="4">
        <v>15.124999999999998</v>
      </c>
      <c r="M73" s="4">
        <v>14.52</v>
      </c>
      <c r="N73" s="4">
        <v>18.149999999999999</v>
      </c>
      <c r="O73" s="4">
        <v>14.52</v>
      </c>
      <c r="P73" s="4">
        <v>18.149999999999999</v>
      </c>
      <c r="Q73" s="4">
        <v>14.52</v>
      </c>
      <c r="R73" s="4">
        <v>20.327999999999999</v>
      </c>
      <c r="S73" s="4">
        <v>20.327999999999999</v>
      </c>
      <c r="T73" s="4">
        <v>20.327999999999999</v>
      </c>
      <c r="U73" s="4">
        <v>20.327999999999999</v>
      </c>
      <c r="V73" s="4" t="s">
        <v>594</v>
      </c>
      <c r="W73" s="4">
        <v>106</v>
      </c>
      <c r="X73" s="7" t="s">
        <v>647</v>
      </c>
    </row>
    <row r="74" spans="1:24" ht="15" x14ac:dyDescent="0.25">
      <c r="A74" s="4" t="s">
        <v>255</v>
      </c>
      <c r="B74" s="4" t="s">
        <v>874</v>
      </c>
      <c r="C74" s="4" t="s">
        <v>639</v>
      </c>
      <c r="D74" s="4">
        <v>3</v>
      </c>
      <c r="E74" s="4">
        <v>0</v>
      </c>
      <c r="F74" s="4">
        <v>0</v>
      </c>
      <c r="G74" s="4">
        <v>55.66</v>
      </c>
      <c r="H74" s="4">
        <v>18.553333333333331</v>
      </c>
      <c r="I74" s="4">
        <v>79.86</v>
      </c>
      <c r="J74" s="4">
        <v>26.62</v>
      </c>
      <c r="K74" s="4">
        <v>45.98</v>
      </c>
      <c r="L74" s="4">
        <v>15.326666666666666</v>
      </c>
      <c r="M74" s="4">
        <v>60.5</v>
      </c>
      <c r="N74" s="4">
        <v>20.166666666666668</v>
      </c>
      <c r="O74" s="4">
        <v>55.66</v>
      </c>
      <c r="P74" s="4">
        <v>69.574999999999989</v>
      </c>
      <c r="Q74" s="4">
        <v>55.66</v>
      </c>
      <c r="R74" s="4">
        <v>77.923999999999992</v>
      </c>
      <c r="S74" s="4">
        <v>77.923999999999992</v>
      </c>
      <c r="T74" s="4">
        <v>77.923999999999992</v>
      </c>
      <c r="U74" s="4">
        <v>77.923999999999992</v>
      </c>
      <c r="V74" s="4" t="s">
        <v>639</v>
      </c>
      <c r="W74" s="4">
        <v>105</v>
      </c>
      <c r="X74" s="7" t="s">
        <v>647</v>
      </c>
    </row>
    <row r="75" spans="1:24" ht="15" x14ac:dyDescent="0.25">
      <c r="A75" s="4" t="s">
        <v>343</v>
      </c>
      <c r="B75" s="4" t="s">
        <v>926</v>
      </c>
      <c r="C75" s="4" t="s">
        <v>639</v>
      </c>
      <c r="D75" s="4">
        <v>12.3</v>
      </c>
      <c r="E75" s="4">
        <v>20</v>
      </c>
      <c r="F75" s="4">
        <v>1.6260162601626016</v>
      </c>
      <c r="G75" s="4">
        <v>69.75</v>
      </c>
      <c r="H75" s="4">
        <v>5.6707317073170724</v>
      </c>
      <c r="I75" s="4">
        <v>23.25</v>
      </c>
      <c r="J75" s="4">
        <v>1.8902439024390243</v>
      </c>
      <c r="K75" s="4">
        <v>51.15</v>
      </c>
      <c r="L75" s="4">
        <v>4.1585365853658534</v>
      </c>
      <c r="M75" s="4">
        <v>27.900000000000002</v>
      </c>
      <c r="N75" s="4">
        <v>2.2682926829268295</v>
      </c>
      <c r="O75" s="4">
        <v>86.49</v>
      </c>
      <c r="P75" s="4">
        <v>66.262500000000003</v>
      </c>
      <c r="Q75" s="4">
        <v>67.657499999999999</v>
      </c>
      <c r="R75" s="4">
        <v>88.582499999999996</v>
      </c>
      <c r="S75" s="4">
        <v>88.582499999999996</v>
      </c>
      <c r="T75" s="4">
        <v>88.582499999999996</v>
      </c>
      <c r="U75" s="4">
        <v>88.582499999999996</v>
      </c>
      <c r="V75" s="4" t="s">
        <v>639</v>
      </c>
      <c r="W75" s="4">
        <v>101</v>
      </c>
      <c r="X75" s="7" t="s">
        <v>649</v>
      </c>
    </row>
    <row r="76" spans="1:24" ht="15" x14ac:dyDescent="0.25">
      <c r="A76" s="4" t="s">
        <v>344</v>
      </c>
      <c r="B76" s="4" t="s">
        <v>772</v>
      </c>
      <c r="C76" s="4" t="s">
        <v>938</v>
      </c>
      <c r="D76" s="4">
        <v>1.5</v>
      </c>
      <c r="E76" s="4">
        <v>2</v>
      </c>
      <c r="F76" s="4">
        <v>1.3333333333333333</v>
      </c>
      <c r="G76" s="4">
        <v>9.3000000000000007</v>
      </c>
      <c r="H76" s="4">
        <v>6.2</v>
      </c>
      <c r="I76" s="4">
        <v>1.55</v>
      </c>
      <c r="J76" s="4">
        <v>1.0333333333333334</v>
      </c>
      <c r="K76" s="4">
        <v>6.2</v>
      </c>
      <c r="L76" s="4">
        <v>4.1333333333333337</v>
      </c>
      <c r="M76" s="4">
        <v>3.1</v>
      </c>
      <c r="N76" s="4">
        <v>2.0666666666666669</v>
      </c>
      <c r="O76" s="4">
        <v>11.532</v>
      </c>
      <c r="P76" s="4">
        <v>8.8350000000000009</v>
      </c>
      <c r="Q76" s="4">
        <v>9.0210000000000008</v>
      </c>
      <c r="R76" s="4">
        <v>11.811000000000002</v>
      </c>
      <c r="S76" s="4">
        <v>11.811000000000002</v>
      </c>
      <c r="T76" s="4">
        <v>11.811000000000002</v>
      </c>
      <c r="U76" s="4">
        <v>11.811000000000002</v>
      </c>
      <c r="V76" s="4" t="s">
        <v>938</v>
      </c>
      <c r="W76" s="4">
        <v>100</v>
      </c>
      <c r="X76" s="7" t="s">
        <v>649</v>
      </c>
    </row>
    <row r="77" spans="1:24" ht="15" x14ac:dyDescent="0.25">
      <c r="A77" s="4" t="s">
        <v>342</v>
      </c>
      <c r="B77" s="4" t="s">
        <v>844</v>
      </c>
      <c r="C77" s="4" t="s">
        <v>594</v>
      </c>
      <c r="D77" s="4">
        <v>4.7</v>
      </c>
      <c r="E77" s="4">
        <v>8</v>
      </c>
      <c r="F77" s="4">
        <v>1.7021276595744681</v>
      </c>
      <c r="G77" s="4">
        <v>26.35</v>
      </c>
      <c r="H77" s="4">
        <v>5.6063829787234045</v>
      </c>
      <c r="I77" s="4">
        <v>9.3000000000000007</v>
      </c>
      <c r="J77" s="4">
        <v>1.9787234042553192</v>
      </c>
      <c r="K77" s="4">
        <v>18.600000000000001</v>
      </c>
      <c r="L77" s="4">
        <v>3.9574468085106385</v>
      </c>
      <c r="M77" s="4">
        <v>10.85</v>
      </c>
      <c r="N77" s="4">
        <v>2.3085106382978724</v>
      </c>
      <c r="O77" s="4">
        <v>32.673999999999999</v>
      </c>
      <c r="P77" s="4">
        <v>25.032500000000002</v>
      </c>
      <c r="Q77" s="4">
        <v>25.5595</v>
      </c>
      <c r="R77" s="4">
        <v>33.464500000000001</v>
      </c>
      <c r="S77" s="4">
        <v>33.464500000000001</v>
      </c>
      <c r="T77" s="4">
        <v>33.464500000000001</v>
      </c>
      <c r="U77" s="4">
        <v>33.464500000000001</v>
      </c>
      <c r="V77" s="4" t="s">
        <v>594</v>
      </c>
      <c r="W77" s="4">
        <v>102</v>
      </c>
      <c r="X77" s="7" t="s">
        <v>649</v>
      </c>
    </row>
    <row r="78" spans="1:24" ht="15" x14ac:dyDescent="0.25">
      <c r="A78" s="4" t="s">
        <v>345</v>
      </c>
      <c r="B78" s="4" t="s">
        <v>835</v>
      </c>
      <c r="C78" s="4" t="s">
        <v>640</v>
      </c>
      <c r="D78" s="4">
        <v>4</v>
      </c>
      <c r="E78" s="4">
        <v>6</v>
      </c>
      <c r="F78" s="4">
        <v>1.5</v>
      </c>
      <c r="G78" s="4">
        <v>23.25</v>
      </c>
      <c r="H78" s="4">
        <v>5.8125</v>
      </c>
      <c r="I78" s="4">
        <v>7.75</v>
      </c>
      <c r="J78" s="4">
        <v>1.9375</v>
      </c>
      <c r="K78" s="4">
        <v>17.05</v>
      </c>
      <c r="L78" s="4">
        <v>4.2625000000000002</v>
      </c>
      <c r="M78" s="4">
        <v>9.3000000000000007</v>
      </c>
      <c r="N78" s="4">
        <v>2.3250000000000002</v>
      </c>
      <c r="O78" s="4">
        <v>28.83</v>
      </c>
      <c r="P78" s="4">
        <v>22.087499999999999</v>
      </c>
      <c r="Q78" s="4">
        <v>22.552499999999998</v>
      </c>
      <c r="R78" s="4">
        <v>29.5275</v>
      </c>
      <c r="S78" s="4">
        <v>29.5275</v>
      </c>
      <c r="T78" s="4">
        <v>29.5275</v>
      </c>
      <c r="U78" s="4">
        <v>29.5275</v>
      </c>
      <c r="V78" s="4" t="s">
        <v>640</v>
      </c>
      <c r="W78" s="4">
        <v>99</v>
      </c>
      <c r="X78" s="7" t="s">
        <v>649</v>
      </c>
    </row>
    <row r="79" spans="1:24" ht="15" x14ac:dyDescent="0.25">
      <c r="A79" s="4" t="s">
        <v>636</v>
      </c>
      <c r="B79" s="4" t="s">
        <v>922</v>
      </c>
      <c r="C79" s="4" t="s">
        <v>639</v>
      </c>
      <c r="D79" s="4">
        <v>13.3</v>
      </c>
      <c r="E79" s="4">
        <v>23</v>
      </c>
      <c r="F79" s="4">
        <v>1.7293233082706767</v>
      </c>
      <c r="G79" s="4">
        <v>99.22</v>
      </c>
      <c r="H79" s="4">
        <v>7.4601503759398495</v>
      </c>
      <c r="I79" s="4">
        <v>55.66</v>
      </c>
      <c r="J79" s="4">
        <v>4.1849624060150372</v>
      </c>
      <c r="K79" s="4">
        <v>50.82</v>
      </c>
      <c r="L79" s="4">
        <v>3.8210526315789473</v>
      </c>
      <c r="M79" s="4">
        <v>36.299999999999997</v>
      </c>
      <c r="N79" s="4">
        <v>2.7293233082706765</v>
      </c>
      <c r="O79" s="4">
        <v>113.1108</v>
      </c>
      <c r="P79" s="4">
        <v>99.22</v>
      </c>
      <c r="Q79" s="4">
        <v>99.22</v>
      </c>
      <c r="R79" s="4">
        <v>138.90799999999999</v>
      </c>
      <c r="S79" s="4">
        <v>138.90799999999999</v>
      </c>
      <c r="T79" s="4">
        <v>138.90799999999999</v>
      </c>
      <c r="U79" s="4">
        <v>138.90799999999999</v>
      </c>
      <c r="V79" s="4" t="s">
        <v>639</v>
      </c>
      <c r="W79" s="4">
        <v>162</v>
      </c>
      <c r="X79" s="7" t="s">
        <v>647</v>
      </c>
    </row>
    <row r="80" spans="1:24" ht="15" x14ac:dyDescent="0.25">
      <c r="A80" s="4" t="s">
        <v>637</v>
      </c>
      <c r="B80" s="4" t="s">
        <v>880</v>
      </c>
      <c r="C80" s="4" t="s">
        <v>938</v>
      </c>
      <c r="D80" s="4">
        <v>7.8</v>
      </c>
      <c r="E80" s="4">
        <v>14</v>
      </c>
      <c r="F80" s="4">
        <v>1.7948717948717949</v>
      </c>
      <c r="G80" s="4">
        <v>58.08</v>
      </c>
      <c r="H80" s="4">
        <v>7.4461538461538463</v>
      </c>
      <c r="I80" s="4">
        <v>31.46</v>
      </c>
      <c r="J80" s="4">
        <v>4.0333333333333332</v>
      </c>
      <c r="K80" s="4">
        <v>29.04</v>
      </c>
      <c r="L80" s="4">
        <v>3.7230769230769232</v>
      </c>
      <c r="M80" s="4">
        <v>21.78</v>
      </c>
      <c r="N80" s="4">
        <v>2.7923076923076926</v>
      </c>
      <c r="O80" s="4">
        <v>66.211199999999991</v>
      </c>
      <c r="P80" s="4">
        <v>58.08</v>
      </c>
      <c r="Q80" s="4">
        <v>58.08</v>
      </c>
      <c r="R80" s="4">
        <v>81.311999999999998</v>
      </c>
      <c r="S80" s="4">
        <v>81.311999999999998</v>
      </c>
      <c r="T80" s="4">
        <v>81.311999999999998</v>
      </c>
      <c r="U80" s="4">
        <v>81.311999999999998</v>
      </c>
      <c r="V80" s="4" t="s">
        <v>938</v>
      </c>
      <c r="W80" s="4">
        <v>161</v>
      </c>
      <c r="X80" s="7" t="s">
        <v>647</v>
      </c>
    </row>
    <row r="81" spans="1:24" ht="15" x14ac:dyDescent="0.25">
      <c r="A81" s="4" t="s">
        <v>635</v>
      </c>
      <c r="B81" s="4" t="s">
        <v>842</v>
      </c>
      <c r="C81" s="4" t="s">
        <v>594</v>
      </c>
      <c r="D81" s="4">
        <v>5.0999999999999899</v>
      </c>
      <c r="E81" s="4">
        <v>9</v>
      </c>
      <c r="F81" s="4">
        <v>1.7647058823529447</v>
      </c>
      <c r="G81" s="4">
        <v>38.72</v>
      </c>
      <c r="H81" s="4">
        <v>7.5921568627451128</v>
      </c>
      <c r="I81" s="4">
        <v>21.78</v>
      </c>
      <c r="J81" s="4">
        <v>4.2705882352941265</v>
      </c>
      <c r="K81" s="4">
        <v>19.36</v>
      </c>
      <c r="L81" s="4">
        <v>3.7960784313725564</v>
      </c>
      <c r="M81" s="4">
        <v>14.52</v>
      </c>
      <c r="N81" s="4">
        <v>2.8470588235294172</v>
      </c>
      <c r="O81" s="4">
        <v>44.140799999999999</v>
      </c>
      <c r="P81" s="4">
        <v>38.72</v>
      </c>
      <c r="Q81" s="4">
        <v>38.72</v>
      </c>
      <c r="R81" s="4">
        <v>54.207999999999998</v>
      </c>
      <c r="S81" s="4">
        <v>54.207999999999998</v>
      </c>
      <c r="T81" s="4">
        <v>54.207999999999998</v>
      </c>
      <c r="U81" s="4">
        <v>54.207999999999998</v>
      </c>
      <c r="V81" s="4" t="s">
        <v>594</v>
      </c>
      <c r="W81" s="4">
        <v>163</v>
      </c>
      <c r="X81" s="7" t="s">
        <v>647</v>
      </c>
    </row>
    <row r="82" spans="1:24" ht="15" x14ac:dyDescent="0.25">
      <c r="A82" s="4" t="s">
        <v>638</v>
      </c>
      <c r="B82" s="4" t="s">
        <v>879</v>
      </c>
      <c r="C82" s="4" t="s">
        <v>640</v>
      </c>
      <c r="D82" s="4">
        <v>7.8</v>
      </c>
      <c r="E82" s="4">
        <v>14</v>
      </c>
      <c r="F82" s="4">
        <v>1.7948717948717949</v>
      </c>
      <c r="G82" s="4">
        <v>58.08</v>
      </c>
      <c r="H82" s="4">
        <v>7.4461538461538463</v>
      </c>
      <c r="I82" s="4">
        <v>31.46</v>
      </c>
      <c r="J82" s="4">
        <v>4.0333333333333332</v>
      </c>
      <c r="K82" s="4">
        <v>29.04</v>
      </c>
      <c r="L82" s="4">
        <v>3.7230769230769232</v>
      </c>
      <c r="M82" s="4">
        <v>21.78</v>
      </c>
      <c r="N82" s="4">
        <v>2.7923076923076926</v>
      </c>
      <c r="O82" s="4">
        <v>66.211199999999991</v>
      </c>
      <c r="P82" s="4">
        <v>58.08</v>
      </c>
      <c r="Q82" s="4">
        <v>58.08</v>
      </c>
      <c r="R82" s="4">
        <v>81.311999999999998</v>
      </c>
      <c r="S82" s="4">
        <v>81.311999999999998</v>
      </c>
      <c r="T82" s="4">
        <v>81.311999999999998</v>
      </c>
      <c r="U82" s="4">
        <v>81.311999999999998</v>
      </c>
      <c r="V82" s="4" t="s">
        <v>640</v>
      </c>
      <c r="W82" s="4">
        <v>160</v>
      </c>
      <c r="X82" s="7" t="s">
        <v>647</v>
      </c>
    </row>
    <row r="83" spans="1:24" ht="15" x14ac:dyDescent="0.25">
      <c r="A83" s="4" t="s">
        <v>339</v>
      </c>
      <c r="B83" s="4" t="s">
        <v>915</v>
      </c>
      <c r="C83" s="4" t="s">
        <v>639</v>
      </c>
      <c r="D83" s="4">
        <v>11.7</v>
      </c>
      <c r="E83" s="4">
        <v>20</v>
      </c>
      <c r="F83" s="4">
        <v>1.7094017094017095</v>
      </c>
      <c r="G83" s="4">
        <v>94.38</v>
      </c>
      <c r="H83" s="4">
        <v>8.0666666666666664</v>
      </c>
      <c r="I83" s="4">
        <v>41.14</v>
      </c>
      <c r="J83" s="4">
        <v>3.5162393162393166</v>
      </c>
      <c r="K83" s="4">
        <v>43.56</v>
      </c>
      <c r="L83" s="4">
        <v>3.7230769230769236</v>
      </c>
      <c r="M83" s="4">
        <v>36.299999999999997</v>
      </c>
      <c r="N83" s="4">
        <v>3.1025641025641026</v>
      </c>
      <c r="O83" s="4">
        <v>109.48079999999999</v>
      </c>
      <c r="P83" s="4">
        <v>91.548599999999993</v>
      </c>
      <c r="Q83" s="4">
        <v>94.38</v>
      </c>
      <c r="R83" s="4">
        <v>132.13199999999998</v>
      </c>
      <c r="S83" s="4">
        <v>132.13199999999998</v>
      </c>
      <c r="T83" s="4">
        <v>132.13199999999998</v>
      </c>
      <c r="U83" s="4">
        <v>132.13199999999998</v>
      </c>
      <c r="V83" s="4" t="s">
        <v>639</v>
      </c>
      <c r="W83" s="4">
        <v>205</v>
      </c>
      <c r="X83" s="7" t="s">
        <v>647</v>
      </c>
    </row>
    <row r="84" spans="1:24" ht="15" x14ac:dyDescent="0.25">
      <c r="A84" s="4" t="s">
        <v>340</v>
      </c>
      <c r="B84" s="4" t="s">
        <v>853</v>
      </c>
      <c r="C84" s="4" t="s">
        <v>938</v>
      </c>
      <c r="D84" s="4">
        <v>3.7</v>
      </c>
      <c r="E84" s="4">
        <v>6</v>
      </c>
      <c r="F84" s="4">
        <v>1.6216216216216215</v>
      </c>
      <c r="G84" s="4">
        <v>43.56</v>
      </c>
      <c r="H84" s="4">
        <v>11.772972972972973</v>
      </c>
      <c r="I84" s="4">
        <v>16.939999999999998</v>
      </c>
      <c r="J84" s="4">
        <v>4.5783783783783774</v>
      </c>
      <c r="K84" s="4">
        <v>19.36</v>
      </c>
      <c r="L84" s="4">
        <v>5.2324324324324323</v>
      </c>
      <c r="M84" s="4">
        <v>12.1</v>
      </c>
      <c r="N84" s="4">
        <v>3.2702702702702702</v>
      </c>
      <c r="O84" s="4">
        <v>50.529600000000002</v>
      </c>
      <c r="P84" s="4">
        <v>42.2532</v>
      </c>
      <c r="Q84" s="4">
        <v>43.56</v>
      </c>
      <c r="R84" s="4">
        <v>60.984000000000002</v>
      </c>
      <c r="S84" s="4">
        <v>60.984000000000002</v>
      </c>
      <c r="T84" s="4">
        <v>60.984000000000002</v>
      </c>
      <c r="U84" s="4">
        <v>60.984000000000002</v>
      </c>
      <c r="V84" s="4" t="s">
        <v>938</v>
      </c>
      <c r="W84" s="4">
        <v>204</v>
      </c>
      <c r="X84" s="7" t="s">
        <v>647</v>
      </c>
    </row>
    <row r="85" spans="1:24" ht="15" x14ac:dyDescent="0.25">
      <c r="A85" s="4" t="s">
        <v>338</v>
      </c>
      <c r="B85" s="4" t="s">
        <v>838</v>
      </c>
      <c r="C85" s="4" t="s">
        <v>594</v>
      </c>
      <c r="D85" s="4">
        <v>4.5</v>
      </c>
      <c r="E85" s="4">
        <v>8</v>
      </c>
      <c r="F85" s="4">
        <v>1.7777777777777777</v>
      </c>
      <c r="G85" s="4">
        <v>36.299999999999997</v>
      </c>
      <c r="H85" s="4">
        <v>8.0666666666666664</v>
      </c>
      <c r="I85" s="4">
        <v>16.939999999999998</v>
      </c>
      <c r="J85" s="4">
        <v>3.764444444444444</v>
      </c>
      <c r="K85" s="4">
        <v>19.36</v>
      </c>
      <c r="L85" s="4">
        <v>4.3022222222222224</v>
      </c>
      <c r="M85" s="4">
        <v>14.52</v>
      </c>
      <c r="N85" s="4">
        <v>3.2266666666666666</v>
      </c>
      <c r="O85" s="4">
        <v>42.107999999999997</v>
      </c>
      <c r="P85" s="4">
        <v>35.210999999999999</v>
      </c>
      <c r="Q85" s="4">
        <v>36.299999999999997</v>
      </c>
      <c r="R85" s="4">
        <v>50.819999999999993</v>
      </c>
      <c r="S85" s="4">
        <v>50.819999999999993</v>
      </c>
      <c r="T85" s="4">
        <v>50.819999999999993</v>
      </c>
      <c r="U85" s="4">
        <v>50.819999999999993</v>
      </c>
      <c r="V85" s="4" t="s">
        <v>594</v>
      </c>
      <c r="W85" s="4">
        <v>206</v>
      </c>
      <c r="X85" s="7" t="s">
        <v>647</v>
      </c>
    </row>
    <row r="86" spans="1:24" ht="15" x14ac:dyDescent="0.25">
      <c r="A86" s="4" t="s">
        <v>341</v>
      </c>
      <c r="B86" s="4" t="s">
        <v>873</v>
      </c>
      <c r="C86" s="4" t="s">
        <v>640</v>
      </c>
      <c r="D86" s="4">
        <v>6.9</v>
      </c>
      <c r="E86" s="4">
        <v>12</v>
      </c>
      <c r="F86" s="4">
        <v>1.7391304347826086</v>
      </c>
      <c r="G86" s="4">
        <v>55.66</v>
      </c>
      <c r="H86" s="4">
        <v>8.0666666666666664</v>
      </c>
      <c r="I86" s="4">
        <v>26.619999999999997</v>
      </c>
      <c r="J86" s="4">
        <v>3.8579710144927533</v>
      </c>
      <c r="K86" s="4">
        <v>26.619999999999997</v>
      </c>
      <c r="L86" s="4">
        <v>3.8579710144927533</v>
      </c>
      <c r="M86" s="4">
        <v>21.78</v>
      </c>
      <c r="N86" s="4">
        <v>3.1565217391304348</v>
      </c>
      <c r="O86" s="4">
        <v>64.565599999999989</v>
      </c>
      <c r="P86" s="4">
        <v>53.990199999999994</v>
      </c>
      <c r="Q86" s="4">
        <v>55.66</v>
      </c>
      <c r="R86" s="4">
        <v>77.923999999999992</v>
      </c>
      <c r="S86" s="4">
        <v>77.923999999999992</v>
      </c>
      <c r="T86" s="4">
        <v>77.923999999999992</v>
      </c>
      <c r="U86" s="4">
        <v>77.923999999999992</v>
      </c>
      <c r="V86" s="4" t="s">
        <v>640</v>
      </c>
      <c r="W86" s="4">
        <v>203</v>
      </c>
      <c r="X86" s="7" t="s">
        <v>647</v>
      </c>
    </row>
    <row r="87" spans="1:24" ht="15" x14ac:dyDescent="0.25">
      <c r="A87" s="4" t="s">
        <v>416</v>
      </c>
      <c r="B87" s="4" t="s">
        <v>927</v>
      </c>
      <c r="C87" s="4" t="s">
        <v>639</v>
      </c>
      <c r="D87" s="4">
        <v>11.7</v>
      </c>
      <c r="E87" s="4">
        <v>20</v>
      </c>
      <c r="F87" s="4">
        <v>1.7094017094017095</v>
      </c>
      <c r="G87" s="4">
        <v>74.400000000000006</v>
      </c>
      <c r="H87" s="4">
        <v>6.3589743589743595</v>
      </c>
      <c r="I87" s="4">
        <v>35.65</v>
      </c>
      <c r="J87" s="4">
        <v>3.0470085470085473</v>
      </c>
      <c r="K87" s="4">
        <v>46.5</v>
      </c>
      <c r="L87" s="4">
        <v>3.9743589743589745</v>
      </c>
      <c r="M87" s="4">
        <v>29.45</v>
      </c>
      <c r="N87" s="4">
        <v>2.517094017094017</v>
      </c>
      <c r="O87" s="4">
        <v>86.304000000000002</v>
      </c>
      <c r="P87" s="4">
        <v>70.680000000000007</v>
      </c>
      <c r="Q87" s="4">
        <v>74.400000000000006</v>
      </c>
      <c r="R87" s="4">
        <v>94.488000000000014</v>
      </c>
      <c r="S87" s="4">
        <v>94.488000000000014</v>
      </c>
      <c r="T87" s="4">
        <v>94.488000000000014</v>
      </c>
      <c r="U87" s="4">
        <v>94.488000000000014</v>
      </c>
      <c r="V87" s="4" t="s">
        <v>639</v>
      </c>
      <c r="W87" s="4">
        <v>26</v>
      </c>
      <c r="X87" s="7" t="s">
        <v>649</v>
      </c>
    </row>
    <row r="88" spans="1:24" ht="15" x14ac:dyDescent="0.25">
      <c r="A88" s="4" t="s">
        <v>560</v>
      </c>
      <c r="B88" s="4" t="s">
        <v>890</v>
      </c>
      <c r="C88" s="4" t="s">
        <v>594</v>
      </c>
      <c r="D88" s="4">
        <v>8</v>
      </c>
      <c r="E88" s="4">
        <v>12</v>
      </c>
      <c r="F88" s="4">
        <v>1.5</v>
      </c>
      <c r="G88" s="4">
        <v>40.300000000000004</v>
      </c>
      <c r="H88" s="4">
        <v>5.0375000000000005</v>
      </c>
      <c r="I88" s="4">
        <v>7.75</v>
      </c>
      <c r="J88" s="4">
        <v>0.96875</v>
      </c>
      <c r="K88" s="4">
        <v>6.2</v>
      </c>
      <c r="L88" s="4">
        <v>0.77500000000000002</v>
      </c>
      <c r="M88" s="4">
        <v>6.2</v>
      </c>
      <c r="N88" s="4">
        <v>0.77500000000000002</v>
      </c>
      <c r="O88" s="4">
        <v>48.360000000000007</v>
      </c>
      <c r="P88" s="4">
        <v>36.270000000000003</v>
      </c>
      <c r="Q88" s="4">
        <v>40.300000000000004</v>
      </c>
      <c r="R88" s="4">
        <v>51.181000000000004</v>
      </c>
      <c r="S88" s="4">
        <v>51.181000000000004</v>
      </c>
      <c r="T88" s="4">
        <v>51.181000000000004</v>
      </c>
      <c r="U88" s="4">
        <v>51.181000000000004</v>
      </c>
      <c r="V88" s="4" t="s">
        <v>594</v>
      </c>
      <c r="W88" s="4">
        <v>57</v>
      </c>
      <c r="X88" s="7" t="s">
        <v>649</v>
      </c>
    </row>
    <row r="89" spans="1:24" ht="15" x14ac:dyDescent="0.25">
      <c r="A89" s="4" t="s">
        <v>568</v>
      </c>
      <c r="B89" s="4" t="s">
        <v>834</v>
      </c>
      <c r="C89" s="4" t="s">
        <v>594</v>
      </c>
      <c r="D89" s="4">
        <v>3.5</v>
      </c>
      <c r="E89" s="4">
        <v>8</v>
      </c>
      <c r="F89" s="4">
        <v>2.2857142857142856</v>
      </c>
      <c r="G89" s="4">
        <v>23.25</v>
      </c>
      <c r="H89" s="4">
        <v>6.6428571428571432</v>
      </c>
      <c r="I89" s="4">
        <v>23.25</v>
      </c>
      <c r="J89" s="4">
        <v>6.6428571428571432</v>
      </c>
      <c r="K89" s="4">
        <v>23.25</v>
      </c>
      <c r="L89" s="4">
        <v>6.6428571428571432</v>
      </c>
      <c r="M89" s="4">
        <v>23.25</v>
      </c>
      <c r="N89" s="4">
        <v>6.6428571428571432</v>
      </c>
      <c r="O89" s="4">
        <v>29.5275</v>
      </c>
      <c r="P89" s="4">
        <v>19.065000000000001</v>
      </c>
      <c r="Q89" s="4">
        <v>21.157499999999999</v>
      </c>
      <c r="R89" s="4">
        <v>29.5275</v>
      </c>
      <c r="S89" s="4">
        <v>29.5275</v>
      </c>
      <c r="T89" s="4">
        <v>29.5275</v>
      </c>
      <c r="U89" s="4">
        <v>29.5275</v>
      </c>
      <c r="V89" s="4" t="s">
        <v>594</v>
      </c>
      <c r="W89" s="4">
        <v>56</v>
      </c>
      <c r="X89" s="7" t="s">
        <v>649</v>
      </c>
    </row>
    <row r="90" spans="1:24" ht="15" x14ac:dyDescent="0.25">
      <c r="A90" s="4" t="s">
        <v>417</v>
      </c>
      <c r="B90" s="4" t="s">
        <v>858</v>
      </c>
      <c r="C90" s="4" t="s">
        <v>938</v>
      </c>
      <c r="D90" s="4">
        <v>5</v>
      </c>
      <c r="E90" s="4">
        <v>8</v>
      </c>
      <c r="F90" s="4">
        <v>1.6</v>
      </c>
      <c r="G90" s="4">
        <v>32.550000000000004</v>
      </c>
      <c r="H90" s="4">
        <v>6.5100000000000007</v>
      </c>
      <c r="I90" s="4">
        <v>15.5</v>
      </c>
      <c r="J90" s="4">
        <v>3.1</v>
      </c>
      <c r="K90" s="4">
        <v>18.600000000000001</v>
      </c>
      <c r="L90" s="4">
        <v>3.72</v>
      </c>
      <c r="M90" s="4">
        <v>12.4</v>
      </c>
      <c r="N90" s="4">
        <v>2.48</v>
      </c>
      <c r="O90" s="4">
        <v>37.758000000000003</v>
      </c>
      <c r="P90" s="4">
        <v>30.922500000000003</v>
      </c>
      <c r="Q90" s="4">
        <v>32.550000000000004</v>
      </c>
      <c r="R90" s="4">
        <v>41.338500000000003</v>
      </c>
      <c r="S90" s="4">
        <v>41.338500000000003</v>
      </c>
      <c r="T90" s="4">
        <v>41.338500000000003</v>
      </c>
      <c r="U90" s="4">
        <v>41.338500000000003</v>
      </c>
      <c r="V90" s="4" t="s">
        <v>938</v>
      </c>
      <c r="W90" s="4">
        <v>25</v>
      </c>
      <c r="X90" s="7" t="s">
        <v>649</v>
      </c>
    </row>
    <row r="91" spans="1:24" ht="15" x14ac:dyDescent="0.25">
      <c r="A91" s="4" t="s">
        <v>453</v>
      </c>
      <c r="B91" s="4" t="s">
        <v>453</v>
      </c>
      <c r="C91" s="4" t="s">
        <v>938</v>
      </c>
      <c r="D91" s="4">
        <v>3</v>
      </c>
      <c r="E91" s="4">
        <v>3</v>
      </c>
      <c r="F91" s="4">
        <v>1</v>
      </c>
      <c r="G91" s="4">
        <v>17</v>
      </c>
      <c r="H91" s="4">
        <v>5.666666666666667</v>
      </c>
      <c r="I91" s="4">
        <v>13</v>
      </c>
      <c r="J91" s="4">
        <v>4.333333333333333</v>
      </c>
      <c r="K91" s="4">
        <v>13</v>
      </c>
      <c r="L91" s="4">
        <v>4.333333333333333</v>
      </c>
      <c r="M91" s="4">
        <v>10</v>
      </c>
      <c r="N91" s="4">
        <v>3.3333333333333335</v>
      </c>
      <c r="O91" s="4">
        <v>19.38</v>
      </c>
      <c r="P91" s="4">
        <v>16.32</v>
      </c>
      <c r="Q91" s="4">
        <v>17</v>
      </c>
      <c r="R91" s="4">
        <v>17</v>
      </c>
      <c r="S91" s="4">
        <v>17</v>
      </c>
      <c r="T91" s="4">
        <v>17</v>
      </c>
      <c r="U91" s="4">
        <v>17</v>
      </c>
      <c r="V91" s="4" t="s">
        <v>938</v>
      </c>
      <c r="W91" s="4">
        <v>63</v>
      </c>
      <c r="X91" s="7" t="s">
        <v>935</v>
      </c>
    </row>
    <row r="92" spans="1:24" ht="15" x14ac:dyDescent="0.25">
      <c r="A92" s="4" t="s">
        <v>605</v>
      </c>
      <c r="B92" s="4" t="s">
        <v>605</v>
      </c>
      <c r="C92" s="4" t="s">
        <v>938</v>
      </c>
      <c r="D92" s="4">
        <v>3</v>
      </c>
      <c r="E92" s="4">
        <v>4</v>
      </c>
      <c r="F92" s="4">
        <v>1.3333333333333333</v>
      </c>
      <c r="G92" s="4">
        <v>11</v>
      </c>
      <c r="H92" s="4">
        <v>3.6666666666666665</v>
      </c>
      <c r="I92" s="4">
        <v>7</v>
      </c>
      <c r="J92" s="4">
        <v>2.3333333333333335</v>
      </c>
      <c r="K92" s="4">
        <v>7</v>
      </c>
      <c r="L92" s="4">
        <v>2.3333333333333335</v>
      </c>
      <c r="M92" s="4">
        <v>6</v>
      </c>
      <c r="N92" s="4">
        <v>2</v>
      </c>
      <c r="O92" s="4">
        <v>12.65</v>
      </c>
      <c r="P92" s="4">
        <v>10.45</v>
      </c>
      <c r="Q92" s="4">
        <v>11</v>
      </c>
      <c r="R92" s="4">
        <v>11</v>
      </c>
      <c r="S92" s="4">
        <v>11</v>
      </c>
      <c r="T92" s="4">
        <v>11</v>
      </c>
      <c r="U92" s="4">
        <v>11</v>
      </c>
      <c r="V92" s="4" t="s">
        <v>938</v>
      </c>
      <c r="W92" s="4">
        <v>149</v>
      </c>
      <c r="X92" s="7" t="s">
        <v>935</v>
      </c>
    </row>
    <row r="93" spans="1:24" ht="15" x14ac:dyDescent="0.25">
      <c r="A93" s="4" t="s">
        <v>396</v>
      </c>
      <c r="B93" s="4" t="s">
        <v>889</v>
      </c>
      <c r="C93" s="4" t="s">
        <v>938</v>
      </c>
      <c r="D93" s="4">
        <v>6.2</v>
      </c>
      <c r="E93" s="4">
        <v>9</v>
      </c>
      <c r="F93" s="4">
        <v>1.4516129032258065</v>
      </c>
      <c r="G93" s="4">
        <v>40.300000000000004</v>
      </c>
      <c r="H93" s="4">
        <v>6.5000000000000009</v>
      </c>
      <c r="I93" s="4">
        <v>24.8</v>
      </c>
      <c r="J93" s="4">
        <v>4</v>
      </c>
      <c r="K93" s="4">
        <v>27.900000000000002</v>
      </c>
      <c r="L93" s="4">
        <v>4.5</v>
      </c>
      <c r="M93" s="4">
        <v>18.600000000000001</v>
      </c>
      <c r="N93" s="4">
        <v>3</v>
      </c>
      <c r="O93" s="4">
        <v>43.927000000000007</v>
      </c>
      <c r="P93" s="4">
        <v>38.285000000000004</v>
      </c>
      <c r="Q93" s="4">
        <v>40.300000000000004</v>
      </c>
      <c r="R93" s="4">
        <v>51.181000000000004</v>
      </c>
      <c r="S93" s="4">
        <v>51.181000000000004</v>
      </c>
      <c r="T93" s="4">
        <v>51.181000000000004</v>
      </c>
      <c r="U93" s="4">
        <v>51.181000000000004</v>
      </c>
      <c r="V93" s="4" t="s">
        <v>938</v>
      </c>
      <c r="W93" s="4">
        <v>29</v>
      </c>
      <c r="X93" s="7" t="s">
        <v>649</v>
      </c>
    </row>
    <row r="94" spans="1:24" ht="15" x14ac:dyDescent="0.25">
      <c r="A94" s="4" t="s">
        <v>624</v>
      </c>
      <c r="B94" s="4" t="s">
        <v>934</v>
      </c>
      <c r="C94" s="4" t="s">
        <v>639</v>
      </c>
      <c r="D94" s="4">
        <v>16.399999999999899</v>
      </c>
      <c r="E94" s="4">
        <v>35</v>
      </c>
      <c r="F94" s="4">
        <v>2.1341463414634276</v>
      </c>
      <c r="G94" s="4">
        <v>111.60000000000001</v>
      </c>
      <c r="H94" s="4">
        <v>6.8048780487805303</v>
      </c>
      <c r="I94" s="4">
        <v>49.6</v>
      </c>
      <c r="J94" s="4">
        <v>3.0243902439024577</v>
      </c>
      <c r="K94" s="4">
        <v>74.400000000000006</v>
      </c>
      <c r="L94" s="4">
        <v>4.5365853658536865</v>
      </c>
      <c r="M94" s="4">
        <v>51.15</v>
      </c>
      <c r="N94" s="4">
        <v>3.1189024390244096</v>
      </c>
      <c r="O94" s="4">
        <v>126.108</v>
      </c>
      <c r="P94" s="4">
        <v>102.67200000000001</v>
      </c>
      <c r="Q94" s="4">
        <v>111.60000000000001</v>
      </c>
      <c r="R94" s="4">
        <v>141.732</v>
      </c>
      <c r="S94" s="4">
        <v>141.732</v>
      </c>
      <c r="T94" s="4">
        <v>141.732</v>
      </c>
      <c r="U94" s="4">
        <v>141.732</v>
      </c>
      <c r="V94" s="4" t="s">
        <v>639</v>
      </c>
      <c r="W94" s="4">
        <v>68</v>
      </c>
      <c r="X94" s="7" t="s">
        <v>649</v>
      </c>
    </row>
    <row r="95" spans="1:24" ht="15" x14ac:dyDescent="0.25">
      <c r="A95" s="4" t="s">
        <v>625</v>
      </c>
      <c r="B95" s="4" t="s">
        <v>920</v>
      </c>
      <c r="C95" s="4" t="s">
        <v>938</v>
      </c>
      <c r="D95" s="4">
        <v>9.6999999999999904</v>
      </c>
      <c r="E95" s="4">
        <v>21</v>
      </c>
      <c r="F95" s="4">
        <v>2.1649484536082495</v>
      </c>
      <c r="G95" s="4">
        <v>63.550000000000004</v>
      </c>
      <c r="H95" s="4">
        <v>6.5515463917525842</v>
      </c>
      <c r="I95" s="4">
        <v>29.45</v>
      </c>
      <c r="J95" s="4">
        <v>3.0360824742268071</v>
      </c>
      <c r="K95" s="4">
        <v>44.95</v>
      </c>
      <c r="L95" s="4">
        <v>4.6340206185567059</v>
      </c>
      <c r="M95" s="4">
        <v>29.45</v>
      </c>
      <c r="N95" s="4">
        <v>3.0360824742268071</v>
      </c>
      <c r="O95" s="4">
        <v>71.811500000000009</v>
      </c>
      <c r="P95" s="4">
        <v>58.466000000000001</v>
      </c>
      <c r="Q95" s="4">
        <v>63.550000000000004</v>
      </c>
      <c r="R95" s="4">
        <v>80.708500000000001</v>
      </c>
      <c r="S95" s="4">
        <v>80.708500000000001</v>
      </c>
      <c r="T95" s="4">
        <v>80.708500000000001</v>
      </c>
      <c r="U95" s="4">
        <v>80.708500000000001</v>
      </c>
      <c r="V95" s="4" t="s">
        <v>938</v>
      </c>
      <c r="W95" s="4">
        <v>67</v>
      </c>
      <c r="X95" s="7" t="s">
        <v>649</v>
      </c>
    </row>
    <row r="96" spans="1:24" ht="15" x14ac:dyDescent="0.25">
      <c r="A96" s="4" t="s">
        <v>623</v>
      </c>
      <c r="B96" s="4" t="s">
        <v>897</v>
      </c>
      <c r="C96" s="4" t="s">
        <v>594</v>
      </c>
      <c r="D96" s="4">
        <v>6.3</v>
      </c>
      <c r="E96" s="4">
        <v>14</v>
      </c>
      <c r="F96" s="4">
        <v>2.2222222222222223</v>
      </c>
      <c r="G96" s="4">
        <v>41.85</v>
      </c>
      <c r="H96" s="4">
        <v>6.6428571428571432</v>
      </c>
      <c r="I96" s="4">
        <v>20.150000000000002</v>
      </c>
      <c r="J96" s="4">
        <v>3.198412698412699</v>
      </c>
      <c r="K96" s="4">
        <v>29.45</v>
      </c>
      <c r="L96" s="4">
        <v>4.6746031746031749</v>
      </c>
      <c r="M96" s="4">
        <v>20.150000000000002</v>
      </c>
      <c r="N96" s="4">
        <v>3.198412698412699</v>
      </c>
      <c r="O96" s="4">
        <v>47.290500000000002</v>
      </c>
      <c r="P96" s="4">
        <v>38.502000000000002</v>
      </c>
      <c r="Q96" s="4">
        <v>41.85</v>
      </c>
      <c r="R96" s="4">
        <v>53.149500000000003</v>
      </c>
      <c r="S96" s="4">
        <v>53.149500000000003</v>
      </c>
      <c r="T96" s="4">
        <v>53.149500000000003</v>
      </c>
      <c r="U96" s="4">
        <v>53.149500000000003</v>
      </c>
      <c r="V96" s="4" t="s">
        <v>594</v>
      </c>
      <c r="W96" s="4">
        <v>69</v>
      </c>
      <c r="X96" s="7" t="s">
        <v>649</v>
      </c>
    </row>
    <row r="97" spans="1:24" ht="15" x14ac:dyDescent="0.25">
      <c r="A97" s="4" t="s">
        <v>626</v>
      </c>
      <c r="B97" s="4" t="s">
        <v>919</v>
      </c>
      <c r="C97" s="4" t="s">
        <v>640</v>
      </c>
      <c r="D97" s="4">
        <v>9.6999999999999904</v>
      </c>
      <c r="E97" s="4">
        <v>21</v>
      </c>
      <c r="F97" s="4">
        <v>2.1649484536082495</v>
      </c>
      <c r="G97" s="4">
        <v>63.550000000000004</v>
      </c>
      <c r="H97" s="4">
        <v>6.5515463917525842</v>
      </c>
      <c r="I97" s="4">
        <v>29.45</v>
      </c>
      <c r="J97" s="4">
        <v>3.0360824742268071</v>
      </c>
      <c r="K97" s="4">
        <v>44.95</v>
      </c>
      <c r="L97" s="4">
        <v>4.6340206185567059</v>
      </c>
      <c r="M97" s="4">
        <v>29.45</v>
      </c>
      <c r="N97" s="4">
        <v>3.0360824742268071</v>
      </c>
      <c r="O97" s="4">
        <v>71.811500000000009</v>
      </c>
      <c r="P97" s="4">
        <v>58.466000000000001</v>
      </c>
      <c r="Q97" s="4">
        <v>63.550000000000004</v>
      </c>
      <c r="R97" s="4">
        <v>80.708500000000001</v>
      </c>
      <c r="S97" s="4">
        <v>80.708500000000001</v>
      </c>
      <c r="T97" s="4">
        <v>80.708500000000001</v>
      </c>
      <c r="U97" s="4">
        <v>80.708500000000001</v>
      </c>
      <c r="V97" s="4" t="s">
        <v>640</v>
      </c>
      <c r="W97" s="4">
        <v>66</v>
      </c>
      <c r="X97" s="7" t="s">
        <v>649</v>
      </c>
    </row>
    <row r="98" spans="1:24" ht="15" x14ac:dyDescent="0.25">
      <c r="A98" s="4" t="s">
        <v>399</v>
      </c>
      <c r="B98" s="4" t="s">
        <v>399</v>
      </c>
      <c r="C98" s="4" t="s">
        <v>639</v>
      </c>
      <c r="D98" s="4">
        <v>3.5</v>
      </c>
      <c r="E98" s="4">
        <v>0</v>
      </c>
      <c r="F98" s="4">
        <v>0</v>
      </c>
      <c r="G98" s="4">
        <v>31</v>
      </c>
      <c r="H98" s="4">
        <v>8.8571428571428577</v>
      </c>
      <c r="I98" s="4">
        <v>38</v>
      </c>
      <c r="J98" s="4">
        <v>10.857142857142858</v>
      </c>
      <c r="K98" s="4">
        <v>58</v>
      </c>
      <c r="L98" s="4">
        <v>16.571428571428573</v>
      </c>
      <c r="M98" s="4">
        <v>21</v>
      </c>
      <c r="N98" s="4">
        <v>6</v>
      </c>
      <c r="O98" s="4">
        <v>31</v>
      </c>
      <c r="P98" s="4">
        <v>33.17</v>
      </c>
      <c r="Q98" s="4">
        <v>31</v>
      </c>
      <c r="R98" s="4">
        <v>31</v>
      </c>
      <c r="S98" s="4">
        <v>31</v>
      </c>
      <c r="T98" s="4">
        <v>31</v>
      </c>
      <c r="U98" s="4">
        <v>31</v>
      </c>
      <c r="V98" s="4" t="s">
        <v>639</v>
      </c>
      <c r="W98" s="4">
        <v>117</v>
      </c>
      <c r="X98" s="7" t="s">
        <v>935</v>
      </c>
    </row>
    <row r="99" spans="1:24" ht="15" x14ac:dyDescent="0.25">
      <c r="A99" s="4" t="s">
        <v>400</v>
      </c>
      <c r="B99" s="4" t="s">
        <v>400</v>
      </c>
      <c r="C99" s="4" t="s">
        <v>938</v>
      </c>
      <c r="D99" s="4">
        <v>1.2</v>
      </c>
      <c r="E99" s="4">
        <v>0</v>
      </c>
      <c r="F99" s="4">
        <v>0</v>
      </c>
      <c r="G99" s="4">
        <v>12</v>
      </c>
      <c r="H99" s="4">
        <v>10</v>
      </c>
      <c r="I99" s="4">
        <v>13</v>
      </c>
      <c r="J99" s="4">
        <v>10.833333333333334</v>
      </c>
      <c r="K99" s="4">
        <v>24</v>
      </c>
      <c r="L99" s="4">
        <v>20</v>
      </c>
      <c r="M99" s="4">
        <v>8</v>
      </c>
      <c r="N99" s="4">
        <v>6.666666666666667</v>
      </c>
      <c r="O99" s="4">
        <v>12</v>
      </c>
      <c r="P99" s="4">
        <v>12.84</v>
      </c>
      <c r="Q99" s="4">
        <v>12</v>
      </c>
      <c r="R99" s="4">
        <v>12</v>
      </c>
      <c r="S99" s="4">
        <v>12</v>
      </c>
      <c r="T99" s="4">
        <v>12</v>
      </c>
      <c r="U99" s="4">
        <v>12</v>
      </c>
      <c r="V99" s="4" t="s">
        <v>938</v>
      </c>
      <c r="W99" s="4">
        <v>116</v>
      </c>
      <c r="X99" s="7" t="s">
        <v>935</v>
      </c>
    </row>
    <row r="100" spans="1:24" ht="15" x14ac:dyDescent="0.25">
      <c r="A100" s="4" t="s">
        <v>398</v>
      </c>
      <c r="B100" s="4" t="s">
        <v>398</v>
      </c>
      <c r="C100" s="4" t="s">
        <v>594</v>
      </c>
      <c r="D100" s="4">
        <v>1.4</v>
      </c>
      <c r="E100" s="4">
        <v>0</v>
      </c>
      <c r="F100" s="4">
        <v>0</v>
      </c>
      <c r="G100" s="4">
        <v>11</v>
      </c>
      <c r="H100" s="4">
        <v>7.8571428571428577</v>
      </c>
      <c r="I100" s="4">
        <v>15</v>
      </c>
      <c r="J100" s="4">
        <v>10.714285714285715</v>
      </c>
      <c r="K100" s="4">
        <v>22</v>
      </c>
      <c r="L100" s="4">
        <v>15.714285714285715</v>
      </c>
      <c r="M100" s="4">
        <v>8</v>
      </c>
      <c r="N100" s="4">
        <v>5.7142857142857144</v>
      </c>
      <c r="O100" s="4">
        <v>11</v>
      </c>
      <c r="P100" s="4">
        <v>11.77</v>
      </c>
      <c r="Q100" s="4">
        <v>11</v>
      </c>
      <c r="R100" s="4">
        <v>11</v>
      </c>
      <c r="S100" s="4">
        <v>11</v>
      </c>
      <c r="T100" s="4">
        <v>11</v>
      </c>
      <c r="U100" s="4">
        <v>11</v>
      </c>
      <c r="V100" s="4" t="s">
        <v>594</v>
      </c>
      <c r="W100" s="4">
        <v>118</v>
      </c>
      <c r="X100" s="7" t="s">
        <v>935</v>
      </c>
    </row>
    <row r="101" spans="1:24" ht="15" x14ac:dyDescent="0.25">
      <c r="A101" s="4" t="s">
        <v>401</v>
      </c>
      <c r="B101" s="4" t="s">
        <v>401</v>
      </c>
      <c r="C101" s="4" t="s">
        <v>640</v>
      </c>
      <c r="D101" s="4">
        <v>3</v>
      </c>
      <c r="E101" s="4">
        <v>0</v>
      </c>
      <c r="F101" s="4">
        <v>0</v>
      </c>
      <c r="G101" s="4">
        <v>23</v>
      </c>
      <c r="H101" s="4">
        <v>7.666666666666667</v>
      </c>
      <c r="I101" s="4">
        <v>27</v>
      </c>
      <c r="J101" s="4">
        <v>9</v>
      </c>
      <c r="K101" s="4">
        <v>49</v>
      </c>
      <c r="L101" s="4">
        <v>16.333333333333332</v>
      </c>
      <c r="M101" s="4">
        <v>17</v>
      </c>
      <c r="N101" s="4">
        <v>5.666666666666667</v>
      </c>
      <c r="O101" s="4">
        <v>23</v>
      </c>
      <c r="P101" s="4">
        <v>24.61</v>
      </c>
      <c r="Q101" s="4">
        <v>23</v>
      </c>
      <c r="R101" s="4">
        <v>23</v>
      </c>
      <c r="S101" s="4">
        <v>23</v>
      </c>
      <c r="T101" s="4">
        <v>23</v>
      </c>
      <c r="U101" s="4">
        <v>23</v>
      </c>
      <c r="V101" s="4" t="s">
        <v>640</v>
      </c>
      <c r="W101" s="4">
        <v>115</v>
      </c>
      <c r="X101" s="7" t="s">
        <v>935</v>
      </c>
    </row>
    <row r="102" spans="1:24" ht="15" x14ac:dyDescent="0.25">
      <c r="A102" s="4" t="s">
        <v>620</v>
      </c>
      <c r="B102" s="4" t="s">
        <v>620</v>
      </c>
      <c r="C102" s="4" t="s">
        <v>639</v>
      </c>
      <c r="D102" s="4">
        <v>16.399999999999899</v>
      </c>
      <c r="E102" s="4">
        <v>33</v>
      </c>
      <c r="F102" s="4">
        <v>2.012195121951232</v>
      </c>
      <c r="G102" s="4">
        <v>91</v>
      </c>
      <c r="H102" s="4">
        <v>5.5487804878049118</v>
      </c>
      <c r="I102" s="4">
        <v>45</v>
      </c>
      <c r="J102" s="4">
        <v>2.7439024390244073</v>
      </c>
      <c r="K102" s="4">
        <v>41</v>
      </c>
      <c r="L102" s="4">
        <v>2.5000000000000155</v>
      </c>
      <c r="M102" s="4">
        <v>17</v>
      </c>
      <c r="N102" s="4">
        <v>1.036585365853665</v>
      </c>
      <c r="O102" s="4">
        <v>106.47</v>
      </c>
      <c r="P102" s="4">
        <v>83.72</v>
      </c>
      <c r="Q102" s="4">
        <v>91</v>
      </c>
      <c r="R102" s="4">
        <v>91</v>
      </c>
      <c r="S102" s="4">
        <v>91</v>
      </c>
      <c r="T102" s="4">
        <v>91</v>
      </c>
      <c r="U102" s="4">
        <v>91</v>
      </c>
      <c r="V102" s="4" t="s">
        <v>639</v>
      </c>
      <c r="W102" s="4">
        <v>54</v>
      </c>
      <c r="X102" s="7" t="s">
        <v>935</v>
      </c>
    </row>
    <row r="103" spans="1:24" ht="15" x14ac:dyDescent="0.25">
      <c r="A103" s="4" t="s">
        <v>621</v>
      </c>
      <c r="B103" s="4" t="s">
        <v>621</v>
      </c>
      <c r="C103" s="4" t="s">
        <v>938</v>
      </c>
      <c r="D103" s="4">
        <v>9.6999999999999904</v>
      </c>
      <c r="E103" s="4">
        <v>20</v>
      </c>
      <c r="F103" s="4">
        <v>2.0618556701030948</v>
      </c>
      <c r="G103" s="4">
        <v>54</v>
      </c>
      <c r="H103" s="4">
        <v>5.5670103092783556</v>
      </c>
      <c r="I103" s="4">
        <v>25</v>
      </c>
      <c r="J103" s="4">
        <v>2.5773195876288684</v>
      </c>
      <c r="K103" s="4">
        <v>23</v>
      </c>
      <c r="L103" s="4">
        <v>2.3711340206185589</v>
      </c>
      <c r="M103" s="4">
        <v>10</v>
      </c>
      <c r="N103" s="4">
        <v>1.0309278350515474</v>
      </c>
      <c r="O103" s="4">
        <v>63.18</v>
      </c>
      <c r="P103" s="4">
        <v>49.68</v>
      </c>
      <c r="Q103" s="4">
        <v>54</v>
      </c>
      <c r="R103" s="4">
        <v>54</v>
      </c>
      <c r="S103" s="4">
        <v>54</v>
      </c>
      <c r="T103" s="4">
        <v>54</v>
      </c>
      <c r="U103" s="4">
        <v>54</v>
      </c>
      <c r="V103" s="4" t="s">
        <v>938</v>
      </c>
      <c r="W103" s="4">
        <v>53</v>
      </c>
      <c r="X103" s="7" t="s">
        <v>935</v>
      </c>
    </row>
    <row r="104" spans="1:24" ht="15" x14ac:dyDescent="0.25">
      <c r="A104" s="4" t="s">
        <v>619</v>
      </c>
      <c r="B104" s="4" t="s">
        <v>619</v>
      </c>
      <c r="C104" s="4" t="s">
        <v>594</v>
      </c>
      <c r="D104" s="4">
        <v>6.3</v>
      </c>
      <c r="E104" s="4">
        <v>13</v>
      </c>
      <c r="F104" s="4">
        <v>2.0634920634920637</v>
      </c>
      <c r="G104" s="4">
        <v>35</v>
      </c>
      <c r="H104" s="4">
        <v>5.5555555555555554</v>
      </c>
      <c r="I104" s="4">
        <v>17</v>
      </c>
      <c r="J104" s="4">
        <v>2.6984126984126986</v>
      </c>
      <c r="K104" s="4">
        <v>16</v>
      </c>
      <c r="L104" s="4">
        <v>2.5396825396825395</v>
      </c>
      <c r="M104" s="4">
        <v>6</v>
      </c>
      <c r="N104" s="4">
        <v>0.95238095238095244</v>
      </c>
      <c r="O104" s="4">
        <v>40.950000000000003</v>
      </c>
      <c r="P104" s="4">
        <v>32.200000000000003</v>
      </c>
      <c r="Q104" s="4">
        <v>35</v>
      </c>
      <c r="R104" s="4">
        <v>35</v>
      </c>
      <c r="S104" s="4">
        <v>35</v>
      </c>
      <c r="T104" s="4">
        <v>35</v>
      </c>
      <c r="U104" s="4">
        <v>35</v>
      </c>
      <c r="V104" s="4" t="s">
        <v>594</v>
      </c>
      <c r="W104" s="4">
        <v>55</v>
      </c>
      <c r="X104" s="7" t="s">
        <v>935</v>
      </c>
    </row>
    <row r="105" spans="1:24" ht="15" x14ac:dyDescent="0.25">
      <c r="A105" s="4" t="s">
        <v>622</v>
      </c>
      <c r="B105" s="4" t="s">
        <v>622</v>
      </c>
      <c r="C105" s="4" t="s">
        <v>640</v>
      </c>
      <c r="D105" s="4">
        <v>9.6999999999999904</v>
      </c>
      <c r="E105" s="4">
        <v>20</v>
      </c>
      <c r="F105" s="4">
        <v>2.0618556701030948</v>
      </c>
      <c r="G105" s="4">
        <v>54</v>
      </c>
      <c r="H105" s="4">
        <v>5.5670103092783556</v>
      </c>
      <c r="I105" s="4">
        <v>25</v>
      </c>
      <c r="J105" s="4">
        <v>2.5773195876288684</v>
      </c>
      <c r="K105" s="4">
        <v>23</v>
      </c>
      <c r="L105" s="4">
        <v>2.3711340206185589</v>
      </c>
      <c r="M105" s="4">
        <v>10</v>
      </c>
      <c r="N105" s="4">
        <v>1.0309278350515474</v>
      </c>
      <c r="O105" s="4">
        <v>63.18</v>
      </c>
      <c r="P105" s="4">
        <v>49.68</v>
      </c>
      <c r="Q105" s="4">
        <v>54</v>
      </c>
      <c r="R105" s="4">
        <v>54</v>
      </c>
      <c r="S105" s="4">
        <v>54</v>
      </c>
      <c r="T105" s="4">
        <v>54</v>
      </c>
      <c r="U105" s="4">
        <v>54</v>
      </c>
      <c r="V105" s="4" t="s">
        <v>640</v>
      </c>
      <c r="W105" s="4">
        <v>52</v>
      </c>
      <c r="X105" s="7" t="s">
        <v>935</v>
      </c>
    </row>
    <row r="106" spans="1:24" ht="15" x14ac:dyDescent="0.25">
      <c r="A106" s="4" t="s">
        <v>295</v>
      </c>
      <c r="B106" s="4" t="s">
        <v>894</v>
      </c>
      <c r="C106" s="4" t="s">
        <v>639</v>
      </c>
      <c r="D106" s="4">
        <v>5.9</v>
      </c>
      <c r="E106" s="4">
        <v>0</v>
      </c>
      <c r="F106" s="4">
        <v>0</v>
      </c>
      <c r="G106" s="4">
        <v>62.92</v>
      </c>
      <c r="H106" s="4">
        <v>10.664406779661016</v>
      </c>
      <c r="I106" s="4">
        <v>48.4</v>
      </c>
      <c r="J106" s="4">
        <v>8.203389830508474</v>
      </c>
      <c r="K106" s="4">
        <v>31.46</v>
      </c>
      <c r="L106" s="4">
        <v>5.3322033898305081</v>
      </c>
      <c r="M106" s="4">
        <v>55.66</v>
      </c>
      <c r="N106" s="4">
        <v>9.4338983050847443</v>
      </c>
      <c r="O106" s="4">
        <v>62.92</v>
      </c>
      <c r="P106" s="4">
        <v>66.6952</v>
      </c>
      <c r="Q106" s="4">
        <v>62.92</v>
      </c>
      <c r="R106" s="4">
        <v>88.087999999999994</v>
      </c>
      <c r="S106" s="4">
        <v>88.087999999999994</v>
      </c>
      <c r="T106" s="4">
        <v>88.087999999999994</v>
      </c>
      <c r="U106" s="4">
        <v>88.087999999999994</v>
      </c>
      <c r="V106" s="4" t="s">
        <v>639</v>
      </c>
      <c r="W106" s="4">
        <v>217</v>
      </c>
      <c r="X106" s="7" t="s">
        <v>647</v>
      </c>
    </row>
    <row r="107" spans="1:24" ht="15" x14ac:dyDescent="0.25">
      <c r="A107" s="4" t="s">
        <v>297</v>
      </c>
      <c r="B107" s="4" t="s">
        <v>819</v>
      </c>
      <c r="C107" s="4" t="s">
        <v>640</v>
      </c>
      <c r="D107" s="4">
        <v>3.5</v>
      </c>
      <c r="E107" s="4">
        <v>0</v>
      </c>
      <c r="F107" s="4">
        <v>0</v>
      </c>
      <c r="G107" s="4">
        <v>31.46</v>
      </c>
      <c r="H107" s="4">
        <v>8.9885714285714293</v>
      </c>
      <c r="I107" s="4">
        <v>29.04</v>
      </c>
      <c r="J107" s="4">
        <v>8.2971428571428572</v>
      </c>
      <c r="K107" s="4">
        <v>16.939999999999998</v>
      </c>
      <c r="L107" s="4">
        <v>4.839999999999999</v>
      </c>
      <c r="M107" s="4">
        <v>31.46</v>
      </c>
      <c r="N107" s="4">
        <v>8.9885714285714293</v>
      </c>
      <c r="O107" s="4">
        <v>31.46</v>
      </c>
      <c r="P107" s="4">
        <v>33.3476</v>
      </c>
      <c r="Q107" s="4">
        <v>31.46</v>
      </c>
      <c r="R107" s="4">
        <v>44.043999999999997</v>
      </c>
      <c r="S107" s="4">
        <v>44.043999999999997</v>
      </c>
      <c r="T107" s="4">
        <v>44.043999999999997</v>
      </c>
      <c r="U107" s="4">
        <v>44.043999999999997</v>
      </c>
      <c r="V107" s="4" t="s">
        <v>640</v>
      </c>
      <c r="W107" s="4">
        <v>215</v>
      </c>
      <c r="X107" s="7" t="s">
        <v>647</v>
      </c>
    </row>
    <row r="108" spans="1:24" ht="15" x14ac:dyDescent="0.25">
      <c r="A108" s="4" t="s">
        <v>296</v>
      </c>
      <c r="B108" s="4" t="s">
        <v>820</v>
      </c>
      <c r="C108" s="4" t="s">
        <v>938</v>
      </c>
      <c r="D108" s="4">
        <v>3.5</v>
      </c>
      <c r="E108" s="4">
        <v>0</v>
      </c>
      <c r="F108" s="4">
        <v>0</v>
      </c>
      <c r="G108" s="4">
        <v>31.46</v>
      </c>
      <c r="H108" s="4">
        <v>8.9885714285714293</v>
      </c>
      <c r="I108" s="4">
        <v>29.04</v>
      </c>
      <c r="J108" s="4">
        <v>8.2971428571428572</v>
      </c>
      <c r="K108" s="4">
        <v>16.939999999999998</v>
      </c>
      <c r="L108" s="4">
        <v>4.839999999999999</v>
      </c>
      <c r="M108" s="4">
        <v>31.46</v>
      </c>
      <c r="N108" s="4">
        <v>8.9885714285714293</v>
      </c>
      <c r="O108" s="4">
        <v>31.46</v>
      </c>
      <c r="P108" s="4">
        <v>33.3476</v>
      </c>
      <c r="Q108" s="4">
        <v>31.46</v>
      </c>
      <c r="R108" s="4">
        <v>44.043999999999997</v>
      </c>
      <c r="S108" s="4">
        <v>44.043999999999997</v>
      </c>
      <c r="T108" s="4">
        <v>44.043999999999997</v>
      </c>
      <c r="U108" s="4">
        <v>44.043999999999997</v>
      </c>
      <c r="V108" s="4" t="s">
        <v>938</v>
      </c>
      <c r="W108" s="4">
        <v>216</v>
      </c>
      <c r="X108" s="7" t="s">
        <v>647</v>
      </c>
    </row>
    <row r="109" spans="1:24" ht="15" x14ac:dyDescent="0.25">
      <c r="A109" s="4" t="s">
        <v>420</v>
      </c>
      <c r="B109" s="4" t="s">
        <v>420</v>
      </c>
      <c r="C109" s="4" t="s">
        <v>639</v>
      </c>
      <c r="D109" s="4">
        <v>19.5</v>
      </c>
      <c r="E109" s="4">
        <v>47</v>
      </c>
      <c r="F109" s="4">
        <v>2.4102564102564101</v>
      </c>
      <c r="G109" s="4">
        <v>92</v>
      </c>
      <c r="H109" s="4">
        <v>4.7179487179487181</v>
      </c>
      <c r="I109" s="4">
        <v>56</v>
      </c>
      <c r="J109" s="4">
        <v>2.8717948717948718</v>
      </c>
      <c r="K109" s="4">
        <v>54</v>
      </c>
      <c r="L109" s="4">
        <v>2.7692307692307692</v>
      </c>
      <c r="M109" s="4">
        <v>49</v>
      </c>
      <c r="N109" s="4">
        <v>2.5128205128205128</v>
      </c>
      <c r="O109" s="4">
        <v>105.8</v>
      </c>
      <c r="P109" s="4">
        <v>78.2</v>
      </c>
      <c r="Q109" s="4">
        <v>92</v>
      </c>
      <c r="R109" s="4">
        <v>92</v>
      </c>
      <c r="S109" s="4">
        <v>92</v>
      </c>
      <c r="T109" s="4">
        <v>92</v>
      </c>
      <c r="U109" s="4">
        <v>92</v>
      </c>
      <c r="V109" s="4" t="s">
        <v>639</v>
      </c>
      <c r="W109" s="4">
        <v>14</v>
      </c>
      <c r="X109" s="7" t="s">
        <v>935</v>
      </c>
    </row>
    <row r="110" spans="1:24" ht="15" x14ac:dyDescent="0.25">
      <c r="A110" s="4" t="s">
        <v>421</v>
      </c>
      <c r="B110" s="4" t="s">
        <v>421</v>
      </c>
      <c r="C110" s="4" t="s">
        <v>938</v>
      </c>
      <c r="D110" s="4">
        <v>11.5</v>
      </c>
      <c r="E110" s="4">
        <v>28</v>
      </c>
      <c r="F110" s="4">
        <v>2.4347826086956523</v>
      </c>
      <c r="G110" s="4">
        <v>54</v>
      </c>
      <c r="H110" s="4">
        <v>4.6956521739130439</v>
      </c>
      <c r="I110" s="4">
        <v>32</v>
      </c>
      <c r="J110" s="4">
        <v>2.7826086956521738</v>
      </c>
      <c r="K110" s="4">
        <v>32</v>
      </c>
      <c r="L110" s="4">
        <v>2.7826086956521738</v>
      </c>
      <c r="M110" s="4">
        <v>29</v>
      </c>
      <c r="N110" s="4">
        <v>2.5217391304347827</v>
      </c>
      <c r="O110" s="4">
        <v>62.1</v>
      </c>
      <c r="P110" s="4">
        <v>45.9</v>
      </c>
      <c r="Q110" s="4">
        <v>54</v>
      </c>
      <c r="R110" s="4">
        <v>54</v>
      </c>
      <c r="S110" s="4">
        <v>54</v>
      </c>
      <c r="T110" s="4">
        <v>54</v>
      </c>
      <c r="U110" s="4">
        <v>54</v>
      </c>
      <c r="V110" s="4" t="s">
        <v>938</v>
      </c>
      <c r="W110" s="4">
        <v>13</v>
      </c>
      <c r="X110" s="7" t="s">
        <v>935</v>
      </c>
    </row>
    <row r="111" spans="1:24" ht="15" x14ac:dyDescent="0.25">
      <c r="A111" s="4" t="s">
        <v>419</v>
      </c>
      <c r="B111" s="4" t="s">
        <v>419</v>
      </c>
      <c r="C111" s="4" t="s">
        <v>594</v>
      </c>
      <c r="D111" s="4">
        <v>7.5</v>
      </c>
      <c r="E111" s="4">
        <v>18</v>
      </c>
      <c r="F111" s="4">
        <v>2.4</v>
      </c>
      <c r="G111" s="4">
        <v>36</v>
      </c>
      <c r="H111" s="4">
        <v>4.8</v>
      </c>
      <c r="I111" s="4">
        <v>22</v>
      </c>
      <c r="J111" s="4">
        <v>2.9333333333333331</v>
      </c>
      <c r="K111" s="4">
        <v>22</v>
      </c>
      <c r="L111" s="4">
        <v>2.9333333333333331</v>
      </c>
      <c r="M111" s="4">
        <v>18</v>
      </c>
      <c r="N111" s="4">
        <v>2.4</v>
      </c>
      <c r="O111" s="4">
        <v>41.4</v>
      </c>
      <c r="P111" s="4">
        <v>30.6</v>
      </c>
      <c r="Q111" s="4">
        <v>36</v>
      </c>
      <c r="R111" s="4">
        <v>36</v>
      </c>
      <c r="S111" s="4">
        <v>36</v>
      </c>
      <c r="T111" s="4">
        <v>36</v>
      </c>
      <c r="U111" s="4">
        <v>36</v>
      </c>
      <c r="V111" s="4" t="s">
        <v>594</v>
      </c>
      <c r="W111" s="4">
        <v>15</v>
      </c>
      <c r="X111" s="7" t="s">
        <v>935</v>
      </c>
    </row>
    <row r="112" spans="1:24" ht="15" x14ac:dyDescent="0.25">
      <c r="A112" s="4" t="s">
        <v>422</v>
      </c>
      <c r="B112" s="4" t="s">
        <v>422</v>
      </c>
      <c r="C112" s="4" t="s">
        <v>640</v>
      </c>
      <c r="D112" s="4">
        <v>11.5</v>
      </c>
      <c r="E112" s="4">
        <v>28</v>
      </c>
      <c r="F112" s="4">
        <v>2.4347826086956523</v>
      </c>
      <c r="G112" s="4">
        <v>54</v>
      </c>
      <c r="H112" s="4">
        <v>4.6956521739130439</v>
      </c>
      <c r="I112" s="4">
        <v>32</v>
      </c>
      <c r="J112" s="4">
        <v>2.7826086956521738</v>
      </c>
      <c r="K112" s="4">
        <v>32</v>
      </c>
      <c r="L112" s="4">
        <v>2.7826086956521738</v>
      </c>
      <c r="M112" s="4">
        <v>29</v>
      </c>
      <c r="N112" s="4">
        <v>2.5217391304347827</v>
      </c>
      <c r="O112" s="4">
        <v>62.1</v>
      </c>
      <c r="P112" s="4">
        <v>45.9</v>
      </c>
      <c r="Q112" s="4">
        <v>54</v>
      </c>
      <c r="R112" s="4">
        <v>54</v>
      </c>
      <c r="S112" s="4">
        <v>54</v>
      </c>
      <c r="T112" s="4">
        <v>54</v>
      </c>
      <c r="U112" s="4">
        <v>54</v>
      </c>
      <c r="V112" s="4" t="s">
        <v>640</v>
      </c>
      <c r="W112" s="4">
        <v>12</v>
      </c>
      <c r="X112" s="7" t="s">
        <v>935</v>
      </c>
    </row>
    <row r="113" spans="1:24" ht="15" x14ac:dyDescent="0.25">
      <c r="A113" s="4" t="s">
        <v>386</v>
      </c>
      <c r="B113" s="4" t="s">
        <v>803</v>
      </c>
      <c r="C113" s="4" t="s">
        <v>640</v>
      </c>
      <c r="D113" s="4">
        <v>1.6</v>
      </c>
      <c r="E113" s="4">
        <v>0</v>
      </c>
      <c r="F113" s="4">
        <v>0</v>
      </c>
      <c r="G113" s="4">
        <v>29.04</v>
      </c>
      <c r="H113" s="4">
        <v>18.149999999999999</v>
      </c>
      <c r="I113" s="4">
        <v>33.879999999999995</v>
      </c>
      <c r="J113" s="4">
        <v>21.174999999999997</v>
      </c>
      <c r="K113" s="4">
        <v>43.56</v>
      </c>
      <c r="L113" s="4">
        <v>27.225000000000001</v>
      </c>
      <c r="M113" s="4">
        <v>24.2</v>
      </c>
      <c r="N113" s="4">
        <v>15.124999999999998</v>
      </c>
      <c r="O113" s="4">
        <v>29.04</v>
      </c>
      <c r="P113" s="4">
        <v>32.234400000000001</v>
      </c>
      <c r="Q113" s="4">
        <v>29.04</v>
      </c>
      <c r="R113" s="4">
        <v>40.655999999999999</v>
      </c>
      <c r="S113" s="4">
        <v>40.655999999999999</v>
      </c>
      <c r="T113" s="4">
        <v>40.655999999999999</v>
      </c>
      <c r="U113" s="4">
        <v>40.655999999999999</v>
      </c>
      <c r="V113" s="4" t="s">
        <v>640</v>
      </c>
      <c r="W113" s="4">
        <v>172</v>
      </c>
      <c r="X113" s="7" t="s">
        <v>647</v>
      </c>
    </row>
    <row r="114" spans="1:24" ht="15" x14ac:dyDescent="0.25">
      <c r="A114" s="4" t="s">
        <v>290</v>
      </c>
      <c r="B114" s="4" t="s">
        <v>851</v>
      </c>
      <c r="C114" s="4" t="s">
        <v>594</v>
      </c>
      <c r="D114" s="4">
        <v>4.5</v>
      </c>
      <c r="E114" s="4">
        <v>8</v>
      </c>
      <c r="F114" s="4">
        <v>1.7777777777777777</v>
      </c>
      <c r="G114" s="4">
        <v>27.900000000000002</v>
      </c>
      <c r="H114" s="4">
        <v>6.2</v>
      </c>
      <c r="I114" s="4">
        <v>15.5</v>
      </c>
      <c r="J114" s="4">
        <v>3.4444444444444446</v>
      </c>
      <c r="K114" s="4">
        <v>17.05</v>
      </c>
      <c r="L114" s="4">
        <v>3.7888888888888892</v>
      </c>
      <c r="M114" s="4">
        <v>10.85</v>
      </c>
      <c r="N114" s="4">
        <v>2.411111111111111</v>
      </c>
      <c r="O114" s="4">
        <v>32.364000000000004</v>
      </c>
      <c r="P114" s="4">
        <v>26.505000000000003</v>
      </c>
      <c r="Q114" s="4">
        <v>27.900000000000002</v>
      </c>
      <c r="R114" s="4">
        <v>35.433</v>
      </c>
      <c r="S114" s="4">
        <v>35.433</v>
      </c>
      <c r="T114" s="4">
        <v>35.433</v>
      </c>
      <c r="U114" s="4">
        <v>35.433</v>
      </c>
      <c r="V114" s="4" t="s">
        <v>594</v>
      </c>
      <c r="W114" s="4">
        <v>27</v>
      </c>
      <c r="X114" s="7" t="s">
        <v>649</v>
      </c>
    </row>
    <row r="115" spans="1:24" ht="15" x14ac:dyDescent="0.25">
      <c r="A115" s="4" t="s">
        <v>603</v>
      </c>
      <c r="B115" s="4" t="s">
        <v>603</v>
      </c>
      <c r="C115" s="4" t="s">
        <v>594</v>
      </c>
      <c r="D115" s="4">
        <v>5.0999999999999899</v>
      </c>
      <c r="E115" s="4">
        <v>8</v>
      </c>
      <c r="F115" s="4">
        <v>1.5686274509803952</v>
      </c>
      <c r="G115" s="4">
        <v>18</v>
      </c>
      <c r="H115" s="4">
        <v>3.5294117647058894</v>
      </c>
      <c r="I115" s="4">
        <v>12</v>
      </c>
      <c r="J115" s="4">
        <v>2.3529411764705928</v>
      </c>
      <c r="K115" s="4">
        <v>13</v>
      </c>
      <c r="L115" s="4">
        <v>2.5490196078431424</v>
      </c>
      <c r="M115" s="4">
        <v>10</v>
      </c>
      <c r="N115" s="4">
        <v>1.9607843137254941</v>
      </c>
      <c r="O115" s="4">
        <v>20.7</v>
      </c>
      <c r="P115" s="4">
        <v>17.100000000000001</v>
      </c>
      <c r="Q115" s="4">
        <v>18</v>
      </c>
      <c r="R115" s="4">
        <v>18</v>
      </c>
      <c r="S115" s="4">
        <v>18</v>
      </c>
      <c r="T115" s="4">
        <v>18</v>
      </c>
      <c r="U115" s="4">
        <v>18</v>
      </c>
      <c r="V115" s="4" t="s">
        <v>594</v>
      </c>
      <c r="W115" s="4">
        <v>151</v>
      </c>
      <c r="X115" s="7" t="s">
        <v>935</v>
      </c>
    </row>
    <row r="116" spans="1:24" ht="15" x14ac:dyDescent="0.25">
      <c r="A116" s="4" t="s">
        <v>394</v>
      </c>
      <c r="B116" s="4" t="s">
        <v>843</v>
      </c>
      <c r="C116" s="4" t="s">
        <v>594</v>
      </c>
      <c r="D116" s="4">
        <v>4.0999999999999899</v>
      </c>
      <c r="E116" s="4">
        <v>6</v>
      </c>
      <c r="F116" s="4">
        <v>1.463414634146345</v>
      </c>
      <c r="G116" s="4">
        <v>26.35</v>
      </c>
      <c r="H116" s="4">
        <v>6.4268292682926988</v>
      </c>
      <c r="I116" s="4">
        <v>15.5</v>
      </c>
      <c r="J116" s="4">
        <v>3.7804878048780579</v>
      </c>
      <c r="K116" s="4">
        <v>18.600000000000001</v>
      </c>
      <c r="L116" s="4">
        <v>4.5365853658536697</v>
      </c>
      <c r="M116" s="4">
        <v>12.4</v>
      </c>
      <c r="N116" s="4">
        <v>3.0243902439024466</v>
      </c>
      <c r="O116" s="4">
        <v>28.721500000000002</v>
      </c>
      <c r="P116" s="4">
        <v>25.032500000000002</v>
      </c>
      <c r="Q116" s="4">
        <v>26.35</v>
      </c>
      <c r="R116" s="4">
        <v>33.464500000000001</v>
      </c>
      <c r="S116" s="4">
        <v>33.464500000000001</v>
      </c>
      <c r="T116" s="4">
        <v>33.464500000000001</v>
      </c>
      <c r="U116" s="4">
        <v>33.464500000000001</v>
      </c>
      <c r="V116" s="4" t="s">
        <v>594</v>
      </c>
      <c r="W116" s="4">
        <v>31</v>
      </c>
      <c r="X116" s="7" t="s">
        <v>649</v>
      </c>
    </row>
    <row r="117" spans="1:24" ht="15" x14ac:dyDescent="0.25">
      <c r="A117" s="4" t="s">
        <v>527</v>
      </c>
      <c r="B117" s="4" t="s">
        <v>893</v>
      </c>
      <c r="C117" s="4" t="s">
        <v>639</v>
      </c>
      <c r="D117" s="4">
        <v>7.8</v>
      </c>
      <c r="E117" s="4">
        <v>12</v>
      </c>
      <c r="F117" s="4">
        <v>1.5384615384615385</v>
      </c>
      <c r="G117" s="4">
        <v>62.92</v>
      </c>
      <c r="H117" s="4">
        <v>8.0666666666666664</v>
      </c>
      <c r="I117" s="4">
        <v>38.72</v>
      </c>
      <c r="J117" s="4">
        <v>4.9641025641025642</v>
      </c>
      <c r="K117" s="4">
        <v>41.14</v>
      </c>
      <c r="L117" s="4">
        <v>5.2743589743589743</v>
      </c>
      <c r="M117" s="4">
        <v>24.2</v>
      </c>
      <c r="N117" s="4">
        <v>3.1025641025641026</v>
      </c>
      <c r="O117" s="4">
        <v>69.841200000000001</v>
      </c>
      <c r="P117" s="4">
        <v>62.92</v>
      </c>
      <c r="Q117" s="4">
        <v>55.369600000000005</v>
      </c>
      <c r="R117" s="4">
        <v>88.087999999999994</v>
      </c>
      <c r="S117" s="4">
        <v>88.087999999999994</v>
      </c>
      <c r="T117" s="4">
        <v>88.087999999999994</v>
      </c>
      <c r="U117" s="4">
        <v>88.087999999999994</v>
      </c>
      <c r="V117" s="4" t="s">
        <v>639</v>
      </c>
      <c r="W117" s="4">
        <v>90</v>
      </c>
      <c r="X117" s="7" t="s">
        <v>647</v>
      </c>
    </row>
    <row r="118" spans="1:24" ht="15" x14ac:dyDescent="0.25">
      <c r="A118" s="4" t="s">
        <v>526</v>
      </c>
      <c r="B118" s="4" t="s">
        <v>793</v>
      </c>
      <c r="C118" s="4" t="s">
        <v>594</v>
      </c>
      <c r="D118" s="4">
        <v>3</v>
      </c>
      <c r="E118" s="4">
        <v>5</v>
      </c>
      <c r="F118" s="4">
        <v>1.6666666666666667</v>
      </c>
      <c r="G118" s="4">
        <v>24.2</v>
      </c>
      <c r="H118" s="4">
        <v>8.0666666666666664</v>
      </c>
      <c r="I118" s="4">
        <v>14.52</v>
      </c>
      <c r="J118" s="4">
        <v>4.84</v>
      </c>
      <c r="K118" s="4">
        <v>14.52</v>
      </c>
      <c r="L118" s="4">
        <v>4.84</v>
      </c>
      <c r="M118" s="4">
        <v>9.68</v>
      </c>
      <c r="N118" s="4">
        <v>3.2266666666666666</v>
      </c>
      <c r="O118" s="4">
        <v>26.861999999999998</v>
      </c>
      <c r="P118" s="4">
        <v>24.2</v>
      </c>
      <c r="Q118" s="4">
        <v>21.295999999999999</v>
      </c>
      <c r="R118" s="4">
        <v>33.879999999999995</v>
      </c>
      <c r="S118" s="4">
        <v>33.879999999999995</v>
      </c>
      <c r="T118" s="4">
        <v>33.879999999999995</v>
      </c>
      <c r="U118" s="4">
        <v>33.879999999999995</v>
      </c>
      <c r="V118" s="4" t="s">
        <v>594</v>
      </c>
      <c r="W118" s="4">
        <v>91</v>
      </c>
      <c r="X118" s="7" t="s">
        <v>647</v>
      </c>
    </row>
    <row r="119" spans="1:24" ht="15" x14ac:dyDescent="0.25">
      <c r="A119" s="4" t="s">
        <v>528</v>
      </c>
      <c r="B119" s="4" t="s">
        <v>814</v>
      </c>
      <c r="C119" s="4" t="s">
        <v>640</v>
      </c>
      <c r="D119" s="4">
        <v>1.5</v>
      </c>
      <c r="E119" s="4">
        <v>7</v>
      </c>
      <c r="F119" s="4">
        <v>4.666666666666667</v>
      </c>
      <c r="G119" s="4">
        <v>31.46</v>
      </c>
      <c r="H119" s="4">
        <v>20.973333333333333</v>
      </c>
      <c r="I119" s="4">
        <v>19.36</v>
      </c>
      <c r="J119" s="4">
        <v>12.906666666666666</v>
      </c>
      <c r="K119" s="4">
        <v>19.36</v>
      </c>
      <c r="L119" s="4">
        <v>12.906666666666666</v>
      </c>
      <c r="M119" s="4">
        <v>14.52</v>
      </c>
      <c r="N119" s="4">
        <v>9.68</v>
      </c>
      <c r="O119" s="4">
        <v>34.9206</v>
      </c>
      <c r="P119" s="4">
        <v>31.46</v>
      </c>
      <c r="Q119" s="4">
        <v>27.684800000000003</v>
      </c>
      <c r="R119" s="4">
        <v>44.043999999999997</v>
      </c>
      <c r="S119" s="4">
        <v>44.043999999999997</v>
      </c>
      <c r="T119" s="4">
        <v>44.043999999999997</v>
      </c>
      <c r="U119" s="4">
        <v>44.043999999999997</v>
      </c>
      <c r="V119" s="4" t="s">
        <v>640</v>
      </c>
      <c r="W119" s="4">
        <v>89</v>
      </c>
      <c r="X119" s="7" t="s">
        <v>647</v>
      </c>
    </row>
    <row r="120" spans="1:24" ht="15" x14ac:dyDescent="0.25">
      <c r="A120" s="4" t="s">
        <v>519</v>
      </c>
      <c r="B120" s="4" t="s">
        <v>779</v>
      </c>
      <c r="C120" s="4" t="s">
        <v>594</v>
      </c>
      <c r="D120" s="4">
        <v>1.1000000000000001</v>
      </c>
      <c r="E120" s="4">
        <v>0</v>
      </c>
      <c r="F120" s="4">
        <v>0</v>
      </c>
      <c r="G120" s="4">
        <v>19.36</v>
      </c>
      <c r="H120" s="4">
        <v>17.599999999999998</v>
      </c>
      <c r="I120" s="4">
        <v>19.36</v>
      </c>
      <c r="J120" s="4">
        <v>17.599999999999998</v>
      </c>
      <c r="K120" s="4">
        <v>12.1</v>
      </c>
      <c r="L120" s="4">
        <v>10.999999999999998</v>
      </c>
      <c r="M120" s="4">
        <v>16.939999999999998</v>
      </c>
      <c r="N120" s="4">
        <v>15.399999999999997</v>
      </c>
      <c r="O120" s="4">
        <v>19.36</v>
      </c>
      <c r="P120" s="4">
        <v>21.102399999999999</v>
      </c>
      <c r="Q120" s="4">
        <v>20.134399999999999</v>
      </c>
      <c r="R120" s="4">
        <v>27.103999999999999</v>
      </c>
      <c r="S120" s="4">
        <v>27.103999999999999</v>
      </c>
      <c r="T120" s="4">
        <v>27.103999999999999</v>
      </c>
      <c r="U120" s="4">
        <v>27.103999999999999</v>
      </c>
      <c r="V120" s="4" t="s">
        <v>594</v>
      </c>
      <c r="W120" s="4">
        <v>80</v>
      </c>
      <c r="X120" s="7" t="s">
        <v>647</v>
      </c>
    </row>
    <row r="121" spans="1:24" ht="15" x14ac:dyDescent="0.25">
      <c r="A121" s="4" t="s">
        <v>520</v>
      </c>
      <c r="B121" s="4" t="s">
        <v>862</v>
      </c>
      <c r="C121" s="4" t="s">
        <v>639</v>
      </c>
      <c r="D121" s="4">
        <v>2.8</v>
      </c>
      <c r="E121" s="4">
        <v>0</v>
      </c>
      <c r="F121" s="4">
        <v>0</v>
      </c>
      <c r="G121" s="4">
        <v>50.82</v>
      </c>
      <c r="H121" s="4">
        <v>18.150000000000002</v>
      </c>
      <c r="I121" s="4">
        <v>48.4</v>
      </c>
      <c r="J121" s="4">
        <v>17.285714285714285</v>
      </c>
      <c r="K121" s="4">
        <v>31.46</v>
      </c>
      <c r="L121" s="4">
        <v>11.235714285714288</v>
      </c>
      <c r="M121" s="4">
        <v>43.56</v>
      </c>
      <c r="N121" s="4">
        <v>15.557142857142859</v>
      </c>
      <c r="O121" s="4">
        <v>50.82</v>
      </c>
      <c r="P121" s="4">
        <v>55.393799999999999</v>
      </c>
      <c r="Q121" s="4">
        <v>52.852800000000002</v>
      </c>
      <c r="R121" s="4">
        <v>71.147999999999996</v>
      </c>
      <c r="S121" s="4">
        <v>71.147999999999996</v>
      </c>
      <c r="T121" s="4">
        <v>71.147999999999996</v>
      </c>
      <c r="U121" s="4">
        <v>71.147999999999996</v>
      </c>
      <c r="V121" s="4" t="s">
        <v>639</v>
      </c>
      <c r="W121" s="4">
        <v>79</v>
      </c>
      <c r="X121" s="7" t="s">
        <v>647</v>
      </c>
    </row>
    <row r="122" spans="1:24" ht="15" x14ac:dyDescent="0.25">
      <c r="A122" s="4" t="s">
        <v>521</v>
      </c>
      <c r="B122" s="4" t="s">
        <v>801</v>
      </c>
      <c r="C122" s="4" t="s">
        <v>640</v>
      </c>
      <c r="D122" s="4">
        <v>1.7</v>
      </c>
      <c r="E122" s="4">
        <v>0</v>
      </c>
      <c r="F122" s="4">
        <v>0</v>
      </c>
      <c r="G122" s="4">
        <v>29.04</v>
      </c>
      <c r="H122" s="4">
        <v>17.08235294117647</v>
      </c>
      <c r="I122" s="4">
        <v>26.619999999999997</v>
      </c>
      <c r="J122" s="4">
        <v>15.658823529411764</v>
      </c>
      <c r="K122" s="4">
        <v>19.36</v>
      </c>
      <c r="L122" s="4">
        <v>11.388235294117647</v>
      </c>
      <c r="M122" s="4">
        <v>24.2</v>
      </c>
      <c r="N122" s="4">
        <v>14.235294117647058</v>
      </c>
      <c r="O122" s="4">
        <v>29.04</v>
      </c>
      <c r="P122" s="4">
        <v>31.653599999999997</v>
      </c>
      <c r="Q122" s="4">
        <v>30.201599999999999</v>
      </c>
      <c r="R122" s="4">
        <v>40.655999999999999</v>
      </c>
      <c r="S122" s="4">
        <v>40.655999999999999</v>
      </c>
      <c r="T122" s="4">
        <v>40.655999999999999</v>
      </c>
      <c r="U122" s="4">
        <v>40.655999999999999</v>
      </c>
      <c r="V122" s="4" t="s">
        <v>640</v>
      </c>
      <c r="W122" s="4">
        <v>78</v>
      </c>
      <c r="X122" s="7" t="s">
        <v>647</v>
      </c>
    </row>
    <row r="123" spans="1:24" ht="15" x14ac:dyDescent="0.25">
      <c r="A123" s="4" t="s">
        <v>523</v>
      </c>
      <c r="B123" s="4" t="s">
        <v>883</v>
      </c>
      <c r="C123" s="4" t="s">
        <v>639</v>
      </c>
      <c r="D123" s="4">
        <v>6.6</v>
      </c>
      <c r="E123" s="4">
        <v>8</v>
      </c>
      <c r="F123" s="4">
        <v>1.2121212121212122</v>
      </c>
      <c r="G123" s="4">
        <v>58.08</v>
      </c>
      <c r="H123" s="4">
        <v>8.8000000000000007</v>
      </c>
      <c r="I123" s="4">
        <v>38.72</v>
      </c>
      <c r="J123" s="4">
        <v>5.8666666666666671</v>
      </c>
      <c r="K123" s="4">
        <v>29.04</v>
      </c>
      <c r="L123" s="4">
        <v>4.4000000000000004</v>
      </c>
      <c r="M123" s="4">
        <v>41.14</v>
      </c>
      <c r="N123" s="4">
        <v>6.2333333333333334</v>
      </c>
      <c r="O123" s="4">
        <v>59.822400000000002</v>
      </c>
      <c r="P123" s="4">
        <v>56.337599999999995</v>
      </c>
      <c r="Q123" s="4">
        <v>55.176000000000002</v>
      </c>
      <c r="R123" s="4">
        <v>81.311999999999998</v>
      </c>
      <c r="S123" s="4">
        <v>81.311999999999998</v>
      </c>
      <c r="T123" s="4">
        <v>81.311999999999998</v>
      </c>
      <c r="U123" s="4">
        <v>81.311999999999998</v>
      </c>
      <c r="V123" s="4" t="s">
        <v>639</v>
      </c>
      <c r="W123" s="4">
        <v>93</v>
      </c>
      <c r="X123" s="7" t="s">
        <v>647</v>
      </c>
    </row>
    <row r="124" spans="1:24" ht="15" x14ac:dyDescent="0.25">
      <c r="A124" s="4" t="s">
        <v>522</v>
      </c>
      <c r="B124" s="4" t="s">
        <v>794</v>
      </c>
      <c r="C124" s="4" t="s">
        <v>594</v>
      </c>
      <c r="D124" s="4">
        <v>2.6</v>
      </c>
      <c r="E124" s="4">
        <v>3</v>
      </c>
      <c r="F124" s="4">
        <v>1.1538461538461537</v>
      </c>
      <c r="G124" s="4">
        <v>24.2</v>
      </c>
      <c r="H124" s="4">
        <v>9.3076923076923066</v>
      </c>
      <c r="I124" s="4">
        <v>14.52</v>
      </c>
      <c r="J124" s="4">
        <v>5.5846153846153843</v>
      </c>
      <c r="K124" s="4">
        <v>12.1</v>
      </c>
      <c r="L124" s="4">
        <v>4.6538461538461533</v>
      </c>
      <c r="M124" s="4">
        <v>14.52</v>
      </c>
      <c r="N124" s="4">
        <v>5.5846153846153843</v>
      </c>
      <c r="O124" s="4">
        <v>24.925999999999998</v>
      </c>
      <c r="P124" s="4">
        <v>23.474</v>
      </c>
      <c r="Q124" s="4">
        <v>22.99</v>
      </c>
      <c r="R124" s="4">
        <v>33.879999999999995</v>
      </c>
      <c r="S124" s="4">
        <v>33.879999999999995</v>
      </c>
      <c r="T124" s="4">
        <v>33.879999999999995</v>
      </c>
      <c r="U124" s="4">
        <v>33.879999999999995</v>
      </c>
      <c r="V124" s="4" t="s">
        <v>594</v>
      </c>
      <c r="W124" s="4">
        <v>94</v>
      </c>
      <c r="X124" s="7" t="s">
        <v>647</v>
      </c>
    </row>
    <row r="125" spans="1:24" ht="15" x14ac:dyDescent="0.25">
      <c r="A125" s="4" t="s">
        <v>524</v>
      </c>
      <c r="B125" s="4" t="s">
        <v>815</v>
      </c>
      <c r="C125" s="4" t="s">
        <v>640</v>
      </c>
      <c r="D125" s="4">
        <v>1.4</v>
      </c>
      <c r="E125" s="4">
        <v>5</v>
      </c>
      <c r="F125" s="4">
        <v>3.5714285714285716</v>
      </c>
      <c r="G125" s="4">
        <v>31.46</v>
      </c>
      <c r="H125" s="4">
        <v>22.471428571428575</v>
      </c>
      <c r="I125" s="4">
        <v>19.36</v>
      </c>
      <c r="J125" s="4">
        <v>13.828571428571429</v>
      </c>
      <c r="K125" s="4">
        <v>14.52</v>
      </c>
      <c r="L125" s="4">
        <v>10.371428571428572</v>
      </c>
      <c r="M125" s="4">
        <v>19.36</v>
      </c>
      <c r="N125" s="4">
        <v>13.828571428571429</v>
      </c>
      <c r="O125" s="4">
        <v>32.403800000000004</v>
      </c>
      <c r="P125" s="4">
        <v>30.516200000000001</v>
      </c>
      <c r="Q125" s="4">
        <v>29.887</v>
      </c>
      <c r="R125" s="4">
        <v>44.043999999999997</v>
      </c>
      <c r="S125" s="4">
        <v>44.043999999999997</v>
      </c>
      <c r="T125" s="4">
        <v>44.043999999999997</v>
      </c>
      <c r="U125" s="4">
        <v>44.043999999999997</v>
      </c>
      <c r="V125" s="4" t="s">
        <v>640</v>
      </c>
      <c r="W125" s="4">
        <v>92</v>
      </c>
      <c r="X125" s="7" t="s">
        <v>647</v>
      </c>
    </row>
    <row r="126" spans="1:24" ht="15" x14ac:dyDescent="0.25">
      <c r="A126" s="4" t="s">
        <v>360</v>
      </c>
      <c r="B126" s="4" t="s">
        <v>870</v>
      </c>
      <c r="C126" s="4" t="s">
        <v>639</v>
      </c>
      <c r="D126" s="4">
        <v>4</v>
      </c>
      <c r="E126" s="4">
        <v>0</v>
      </c>
      <c r="F126" s="4">
        <v>0</v>
      </c>
      <c r="G126" s="4">
        <v>53.239999999999995</v>
      </c>
      <c r="H126" s="4">
        <v>13.309999999999999</v>
      </c>
      <c r="I126" s="4">
        <v>55.66</v>
      </c>
      <c r="J126" s="4">
        <v>13.914999999999999</v>
      </c>
      <c r="K126" s="4">
        <v>33.879999999999995</v>
      </c>
      <c r="L126" s="4">
        <v>8.4699999999999989</v>
      </c>
      <c r="M126" s="4">
        <v>45.98</v>
      </c>
      <c r="N126" s="4">
        <v>11.494999999999999</v>
      </c>
      <c r="O126" s="4">
        <v>53.239999999999995</v>
      </c>
      <c r="P126" s="4">
        <v>62.823199999999993</v>
      </c>
      <c r="Q126" s="4">
        <v>53.239999999999995</v>
      </c>
      <c r="R126" s="4">
        <v>74.535999999999987</v>
      </c>
      <c r="S126" s="4">
        <v>74.535999999999987</v>
      </c>
      <c r="T126" s="4">
        <v>74.535999999999987</v>
      </c>
      <c r="U126" s="4">
        <v>74.535999999999987</v>
      </c>
      <c r="V126" s="4" t="s">
        <v>639</v>
      </c>
      <c r="W126" s="4">
        <v>170</v>
      </c>
      <c r="X126" s="7" t="s">
        <v>647</v>
      </c>
    </row>
    <row r="127" spans="1:24" ht="15" x14ac:dyDescent="0.25">
      <c r="A127" s="4" t="s">
        <v>362</v>
      </c>
      <c r="B127" s="4" t="s">
        <v>829</v>
      </c>
      <c r="C127" s="4" t="s">
        <v>640</v>
      </c>
      <c r="D127" s="4">
        <v>2</v>
      </c>
      <c r="E127" s="4">
        <v>0</v>
      </c>
      <c r="F127" s="4">
        <v>0</v>
      </c>
      <c r="G127" s="4">
        <v>33.879999999999995</v>
      </c>
      <c r="H127" s="4">
        <v>16.939999999999998</v>
      </c>
      <c r="I127" s="4">
        <v>36.299999999999997</v>
      </c>
      <c r="J127" s="4">
        <v>18.149999999999999</v>
      </c>
      <c r="K127" s="4">
        <v>19.36</v>
      </c>
      <c r="L127" s="4">
        <v>9.68</v>
      </c>
      <c r="M127" s="4">
        <v>29.04</v>
      </c>
      <c r="N127" s="4">
        <v>14.52</v>
      </c>
      <c r="O127" s="4">
        <v>33.879999999999995</v>
      </c>
      <c r="P127" s="4">
        <v>39.978399999999993</v>
      </c>
      <c r="Q127" s="4">
        <v>33.879999999999995</v>
      </c>
      <c r="R127" s="4">
        <v>47.431999999999988</v>
      </c>
      <c r="S127" s="4">
        <v>47.431999999999988</v>
      </c>
      <c r="T127" s="4">
        <v>47.431999999999988</v>
      </c>
      <c r="U127" s="4">
        <v>47.431999999999988</v>
      </c>
      <c r="V127" s="4" t="s">
        <v>640</v>
      </c>
      <c r="W127" s="4">
        <v>168</v>
      </c>
      <c r="X127" s="7" t="s">
        <v>647</v>
      </c>
    </row>
    <row r="128" spans="1:24" ht="15" x14ac:dyDescent="0.25">
      <c r="A128" s="4" t="s">
        <v>262</v>
      </c>
      <c r="B128" s="4" t="s">
        <v>847</v>
      </c>
      <c r="C128" s="4" t="s">
        <v>938</v>
      </c>
      <c r="D128" s="4">
        <v>4.3</v>
      </c>
      <c r="E128" s="4">
        <v>7</v>
      </c>
      <c r="F128" s="4">
        <v>1.6279069767441861</v>
      </c>
      <c r="G128" s="4">
        <v>41.14</v>
      </c>
      <c r="H128" s="4">
        <v>9.5674418604651166</v>
      </c>
      <c r="I128" s="4">
        <v>24.2</v>
      </c>
      <c r="J128" s="4">
        <v>5.6279069767441863</v>
      </c>
      <c r="K128" s="4">
        <v>24.2</v>
      </c>
      <c r="L128" s="4">
        <v>5.6279069767441863</v>
      </c>
      <c r="M128" s="4">
        <v>21.78</v>
      </c>
      <c r="N128" s="4">
        <v>5.0651162790697679</v>
      </c>
      <c r="O128" s="4">
        <v>41.14</v>
      </c>
      <c r="P128" s="4">
        <v>41.14</v>
      </c>
      <c r="Q128" s="4">
        <v>40.3172</v>
      </c>
      <c r="R128" s="4">
        <v>57.595999999999997</v>
      </c>
      <c r="S128" s="4">
        <v>57.595999999999997</v>
      </c>
      <c r="T128" s="4">
        <v>57.595999999999997</v>
      </c>
      <c r="U128" s="4">
        <v>57.595999999999997</v>
      </c>
      <c r="V128" s="4" t="s">
        <v>938</v>
      </c>
      <c r="W128" s="4">
        <v>157</v>
      </c>
      <c r="X128" s="7" t="s">
        <v>647</v>
      </c>
    </row>
    <row r="129" spans="1:24" ht="15" x14ac:dyDescent="0.25">
      <c r="A129" s="4" t="s">
        <v>260</v>
      </c>
      <c r="B129" s="4" t="s">
        <v>825</v>
      </c>
      <c r="C129" s="4" t="s">
        <v>594</v>
      </c>
      <c r="D129" s="4">
        <v>4.5</v>
      </c>
      <c r="E129" s="4">
        <v>8</v>
      </c>
      <c r="F129" s="4">
        <v>1.7777777777777777</v>
      </c>
      <c r="G129" s="4">
        <v>33.879999999999995</v>
      </c>
      <c r="H129" s="4">
        <v>7.5288888888888881</v>
      </c>
      <c r="I129" s="4">
        <v>24.2</v>
      </c>
      <c r="J129" s="4">
        <v>5.3777777777777773</v>
      </c>
      <c r="K129" s="4">
        <v>24.2</v>
      </c>
      <c r="L129" s="4">
        <v>5.3777777777777773</v>
      </c>
      <c r="M129" s="4">
        <v>21.78</v>
      </c>
      <c r="N129" s="4">
        <v>4.84</v>
      </c>
      <c r="O129" s="4">
        <v>33.879999999999995</v>
      </c>
      <c r="P129" s="4">
        <v>33.879999999999995</v>
      </c>
      <c r="Q129" s="4">
        <v>33.202399999999997</v>
      </c>
      <c r="R129" s="4">
        <v>47.431999999999988</v>
      </c>
      <c r="S129" s="4">
        <v>47.431999999999988</v>
      </c>
      <c r="T129" s="4">
        <v>47.431999999999988</v>
      </c>
      <c r="U129" s="4">
        <v>47.431999999999988</v>
      </c>
      <c r="V129" s="4" t="s">
        <v>594</v>
      </c>
      <c r="W129" s="4">
        <v>159</v>
      </c>
      <c r="X129" s="7" t="s">
        <v>647</v>
      </c>
    </row>
    <row r="130" spans="1:24" ht="15" x14ac:dyDescent="0.25">
      <c r="A130" s="4" t="s">
        <v>263</v>
      </c>
      <c r="B130" s="4" t="s">
        <v>861</v>
      </c>
      <c r="C130" s="4" t="s">
        <v>640</v>
      </c>
      <c r="D130" s="4">
        <v>5.3</v>
      </c>
      <c r="E130" s="4">
        <v>9</v>
      </c>
      <c r="F130" s="4">
        <v>1.6981132075471699</v>
      </c>
      <c r="G130" s="4">
        <v>50.82</v>
      </c>
      <c r="H130" s="4">
        <v>9.5886792452830196</v>
      </c>
      <c r="I130" s="4">
        <v>29.04</v>
      </c>
      <c r="J130" s="4">
        <v>5.4792452830188676</v>
      </c>
      <c r="K130" s="4">
        <v>29.04</v>
      </c>
      <c r="L130" s="4">
        <v>5.4792452830188676</v>
      </c>
      <c r="M130" s="4">
        <v>26.619999999999997</v>
      </c>
      <c r="N130" s="4">
        <v>5.0226415094339618</v>
      </c>
      <c r="O130" s="4">
        <v>50.82</v>
      </c>
      <c r="P130" s="4">
        <v>50.82</v>
      </c>
      <c r="Q130" s="4">
        <v>49.803600000000003</v>
      </c>
      <c r="R130" s="4">
        <v>71.147999999999996</v>
      </c>
      <c r="S130" s="4">
        <v>71.147999999999996</v>
      </c>
      <c r="T130" s="4">
        <v>71.147999999999996</v>
      </c>
      <c r="U130" s="4">
        <v>71.147999999999996</v>
      </c>
      <c r="V130" s="4" t="s">
        <v>640</v>
      </c>
      <c r="W130" s="4">
        <v>156</v>
      </c>
      <c r="X130" s="7" t="s">
        <v>647</v>
      </c>
    </row>
    <row r="131" spans="1:24" ht="15" x14ac:dyDescent="0.25">
      <c r="A131" s="4" t="s">
        <v>355</v>
      </c>
      <c r="B131" s="4" t="s">
        <v>914</v>
      </c>
      <c r="C131" s="4" t="s">
        <v>639</v>
      </c>
      <c r="D131" s="4">
        <v>10.9</v>
      </c>
      <c r="E131" s="4">
        <v>20</v>
      </c>
      <c r="F131" s="4">
        <v>1.8348623853211008</v>
      </c>
      <c r="G131" s="4">
        <v>89.539999999999992</v>
      </c>
      <c r="H131" s="4">
        <v>8.2146788990825677</v>
      </c>
      <c r="I131" s="4">
        <v>38.72</v>
      </c>
      <c r="J131" s="4">
        <v>3.5522935779816511</v>
      </c>
      <c r="K131" s="4">
        <v>43.56</v>
      </c>
      <c r="L131" s="4">
        <v>3.9963302752293579</v>
      </c>
      <c r="M131" s="4">
        <v>31.46</v>
      </c>
      <c r="N131" s="4">
        <v>2.8862385321100916</v>
      </c>
      <c r="O131" s="4">
        <v>103.8664</v>
      </c>
      <c r="P131" s="4">
        <v>85.062999999999988</v>
      </c>
      <c r="Q131" s="4">
        <v>87.749199999999988</v>
      </c>
      <c r="R131" s="4">
        <v>125.35599999999998</v>
      </c>
      <c r="S131" s="4">
        <v>125.35599999999998</v>
      </c>
      <c r="T131" s="4">
        <v>125.35599999999998</v>
      </c>
      <c r="U131" s="4">
        <v>125.35599999999998</v>
      </c>
      <c r="V131" s="4" t="s">
        <v>639</v>
      </c>
      <c r="W131" s="4">
        <v>209</v>
      </c>
      <c r="X131" s="7" t="s">
        <v>647</v>
      </c>
    </row>
    <row r="132" spans="1:24" ht="15" x14ac:dyDescent="0.25">
      <c r="A132" s="4" t="s">
        <v>356</v>
      </c>
      <c r="B132" s="4" t="s">
        <v>848</v>
      </c>
      <c r="C132" s="4" t="s">
        <v>938</v>
      </c>
      <c r="D132" s="4">
        <v>3.5</v>
      </c>
      <c r="E132" s="4">
        <v>6</v>
      </c>
      <c r="F132" s="4">
        <v>1.7142857142857142</v>
      </c>
      <c r="G132" s="4">
        <v>41.14</v>
      </c>
      <c r="H132" s="4">
        <v>11.754285714285714</v>
      </c>
      <c r="I132" s="4">
        <v>16.939999999999998</v>
      </c>
      <c r="J132" s="4">
        <v>4.839999999999999</v>
      </c>
      <c r="K132" s="4">
        <v>19.36</v>
      </c>
      <c r="L132" s="4">
        <v>5.5314285714285711</v>
      </c>
      <c r="M132" s="4">
        <v>9.68</v>
      </c>
      <c r="N132" s="4">
        <v>2.7657142857142856</v>
      </c>
      <c r="O132" s="4">
        <v>47.7224</v>
      </c>
      <c r="P132" s="4">
        <v>39.082999999999998</v>
      </c>
      <c r="Q132" s="4">
        <v>40.3172</v>
      </c>
      <c r="R132" s="4">
        <v>57.595999999999997</v>
      </c>
      <c r="S132" s="4">
        <v>57.595999999999997</v>
      </c>
      <c r="T132" s="4">
        <v>57.595999999999997</v>
      </c>
      <c r="U132" s="4">
        <v>57.595999999999997</v>
      </c>
      <c r="V132" s="4" t="s">
        <v>938</v>
      </c>
      <c r="W132" s="4">
        <v>208</v>
      </c>
      <c r="X132" s="7" t="s">
        <v>647</v>
      </c>
    </row>
    <row r="133" spans="1:24" ht="15" x14ac:dyDescent="0.25">
      <c r="A133" s="4" t="s">
        <v>354</v>
      </c>
      <c r="B133" s="4" t="s">
        <v>826</v>
      </c>
      <c r="C133" s="4" t="s">
        <v>594</v>
      </c>
      <c r="D133" s="4">
        <v>4.2</v>
      </c>
      <c r="E133" s="4">
        <v>8</v>
      </c>
      <c r="F133" s="4">
        <v>1.9047619047619047</v>
      </c>
      <c r="G133" s="4">
        <v>33.879999999999995</v>
      </c>
      <c r="H133" s="4">
        <v>8.0666666666666647</v>
      </c>
      <c r="I133" s="4">
        <v>14.52</v>
      </c>
      <c r="J133" s="4">
        <v>3.4571428571428569</v>
      </c>
      <c r="K133" s="4">
        <v>19.36</v>
      </c>
      <c r="L133" s="4">
        <v>4.6095238095238091</v>
      </c>
      <c r="M133" s="4">
        <v>12.1</v>
      </c>
      <c r="N133" s="4">
        <v>2.8809523809523809</v>
      </c>
      <c r="O133" s="4">
        <v>39.300799999999995</v>
      </c>
      <c r="P133" s="4">
        <v>32.185999999999993</v>
      </c>
      <c r="Q133" s="4">
        <v>33.202399999999997</v>
      </c>
      <c r="R133" s="4">
        <v>47.431999999999988</v>
      </c>
      <c r="S133" s="4">
        <v>47.431999999999988</v>
      </c>
      <c r="T133" s="4">
        <v>47.431999999999988</v>
      </c>
      <c r="U133" s="4">
        <v>47.431999999999988</v>
      </c>
      <c r="V133" s="4" t="s">
        <v>594</v>
      </c>
      <c r="W133" s="4">
        <v>210</v>
      </c>
      <c r="X133" s="7" t="s">
        <v>647</v>
      </c>
    </row>
    <row r="134" spans="1:24" ht="15" x14ac:dyDescent="0.25">
      <c r="A134" s="4" t="s">
        <v>357</v>
      </c>
      <c r="B134" s="4" t="s">
        <v>869</v>
      </c>
      <c r="C134" s="4" t="s">
        <v>640</v>
      </c>
      <c r="D134" s="4">
        <v>6.4</v>
      </c>
      <c r="E134" s="4">
        <v>12</v>
      </c>
      <c r="F134" s="4">
        <v>1.875</v>
      </c>
      <c r="G134" s="4">
        <v>53.239999999999995</v>
      </c>
      <c r="H134" s="4">
        <v>8.3187499999999979</v>
      </c>
      <c r="I134" s="4">
        <v>24.2</v>
      </c>
      <c r="J134" s="4">
        <v>3.7812499999999996</v>
      </c>
      <c r="K134" s="4">
        <v>26.619999999999997</v>
      </c>
      <c r="L134" s="4">
        <v>4.1593749999999989</v>
      </c>
      <c r="M134" s="4">
        <v>19.36</v>
      </c>
      <c r="N134" s="4">
        <v>3.0249999999999999</v>
      </c>
      <c r="O134" s="4">
        <v>61.758399999999995</v>
      </c>
      <c r="P134" s="4">
        <v>50.577999999999996</v>
      </c>
      <c r="Q134" s="4">
        <v>52.175199999999997</v>
      </c>
      <c r="R134" s="4">
        <v>74.535999999999987</v>
      </c>
      <c r="S134" s="4">
        <v>74.535999999999987</v>
      </c>
      <c r="T134" s="4">
        <v>74.535999999999987</v>
      </c>
      <c r="U134" s="4">
        <v>74.535999999999987</v>
      </c>
      <c r="V134" s="4" t="s">
        <v>640</v>
      </c>
      <c r="W134" s="4">
        <v>207</v>
      </c>
      <c r="X134" s="7" t="s">
        <v>647</v>
      </c>
    </row>
    <row r="135" spans="1:24" ht="15" x14ac:dyDescent="0.25">
      <c r="A135" s="4" t="s">
        <v>334</v>
      </c>
      <c r="B135" s="4" t="s">
        <v>884</v>
      </c>
      <c r="C135" s="4" t="s">
        <v>639</v>
      </c>
      <c r="D135" s="4">
        <v>4.7</v>
      </c>
      <c r="E135" s="4">
        <v>0</v>
      </c>
      <c r="F135" s="4">
        <v>0</v>
      </c>
      <c r="G135" s="4">
        <v>58.08</v>
      </c>
      <c r="H135" s="4">
        <v>12.357446808510637</v>
      </c>
      <c r="I135" s="4">
        <v>48.4</v>
      </c>
      <c r="J135" s="4">
        <v>10.297872340425531</v>
      </c>
      <c r="K135" s="4">
        <v>29.04</v>
      </c>
      <c r="L135" s="4">
        <v>6.1787234042553187</v>
      </c>
      <c r="M135" s="4">
        <v>55.66</v>
      </c>
      <c r="N135" s="4">
        <v>11.84255319148936</v>
      </c>
      <c r="O135" s="4">
        <v>58.08</v>
      </c>
      <c r="P135" s="4">
        <v>61.564799999999998</v>
      </c>
      <c r="Q135" s="4">
        <v>58.08</v>
      </c>
      <c r="R135" s="4">
        <v>81.311999999999998</v>
      </c>
      <c r="S135" s="4">
        <v>81.311999999999998</v>
      </c>
      <c r="T135" s="4">
        <v>81.311999999999998</v>
      </c>
      <c r="U135" s="4">
        <v>81.311999999999998</v>
      </c>
      <c r="V135" s="4" t="s">
        <v>639</v>
      </c>
      <c r="W135" s="4">
        <v>190</v>
      </c>
      <c r="X135" s="7" t="s">
        <v>647</v>
      </c>
    </row>
    <row r="136" spans="1:24" ht="15" x14ac:dyDescent="0.25">
      <c r="A136" s="4" t="s">
        <v>336</v>
      </c>
      <c r="B136" s="4" t="s">
        <v>809</v>
      </c>
      <c r="C136" s="4" t="s">
        <v>640</v>
      </c>
      <c r="D136" s="4">
        <v>2.8</v>
      </c>
      <c r="E136" s="4">
        <v>0</v>
      </c>
      <c r="F136" s="4">
        <v>0</v>
      </c>
      <c r="G136" s="4">
        <v>29.04</v>
      </c>
      <c r="H136" s="4">
        <v>10.371428571428572</v>
      </c>
      <c r="I136" s="4">
        <v>29.04</v>
      </c>
      <c r="J136" s="4">
        <v>10.371428571428572</v>
      </c>
      <c r="K136" s="4">
        <v>14.52</v>
      </c>
      <c r="L136" s="4">
        <v>5.1857142857142859</v>
      </c>
      <c r="M136" s="4">
        <v>31.46</v>
      </c>
      <c r="N136" s="4">
        <v>11.235714285714288</v>
      </c>
      <c r="O136" s="4">
        <v>29.04</v>
      </c>
      <c r="P136" s="4">
        <v>30.782399999999999</v>
      </c>
      <c r="Q136" s="4">
        <v>29.04</v>
      </c>
      <c r="R136" s="4">
        <v>40.655999999999999</v>
      </c>
      <c r="S136" s="4">
        <v>40.655999999999999</v>
      </c>
      <c r="T136" s="4">
        <v>40.655999999999999</v>
      </c>
      <c r="U136" s="4">
        <v>40.655999999999999</v>
      </c>
      <c r="V136" s="4" t="s">
        <v>640</v>
      </c>
      <c r="W136" s="4">
        <v>188</v>
      </c>
      <c r="X136" s="7" t="s">
        <v>647</v>
      </c>
    </row>
    <row r="137" spans="1:24" ht="15" x14ac:dyDescent="0.25">
      <c r="A137" s="4" t="s">
        <v>564</v>
      </c>
      <c r="B137" s="4" t="s">
        <v>799</v>
      </c>
      <c r="C137" s="4" t="s">
        <v>938</v>
      </c>
      <c r="D137" s="4">
        <v>3.6</v>
      </c>
      <c r="E137" s="4">
        <v>5</v>
      </c>
      <c r="F137" s="4">
        <v>1.3888888888888888</v>
      </c>
      <c r="G137" s="4">
        <v>29.04</v>
      </c>
      <c r="H137" s="4">
        <v>8.0666666666666664</v>
      </c>
      <c r="I137" s="4">
        <v>24.2</v>
      </c>
      <c r="J137" s="4">
        <v>6.7222222222222214</v>
      </c>
      <c r="K137" s="4">
        <v>19.36</v>
      </c>
      <c r="L137" s="4">
        <v>5.3777777777777773</v>
      </c>
      <c r="M137" s="4">
        <v>9.68</v>
      </c>
      <c r="N137" s="4">
        <v>2.6888888888888887</v>
      </c>
      <c r="O137" s="4">
        <v>34.847999999999999</v>
      </c>
      <c r="P137" s="4">
        <v>29.04</v>
      </c>
      <c r="Q137" s="4">
        <v>28.168799999999997</v>
      </c>
      <c r="R137" s="4">
        <v>40.655999999999999</v>
      </c>
      <c r="S137" s="4">
        <v>40.655999999999999</v>
      </c>
      <c r="T137" s="4">
        <v>40.655999999999999</v>
      </c>
      <c r="U137" s="4">
        <v>40.655999999999999</v>
      </c>
      <c r="V137" s="4" t="s">
        <v>938</v>
      </c>
      <c r="W137" s="4">
        <v>212</v>
      </c>
      <c r="X137" s="7" t="s">
        <v>647</v>
      </c>
    </row>
    <row r="138" spans="1:24" ht="15" x14ac:dyDescent="0.25">
      <c r="A138" s="4" t="s">
        <v>335</v>
      </c>
      <c r="B138" s="4" t="s">
        <v>810</v>
      </c>
      <c r="C138" s="4" t="s">
        <v>938</v>
      </c>
      <c r="D138" s="4">
        <v>2.8</v>
      </c>
      <c r="E138" s="4">
        <v>0</v>
      </c>
      <c r="F138" s="4">
        <v>0</v>
      </c>
      <c r="G138" s="4">
        <v>29.04</v>
      </c>
      <c r="H138" s="4">
        <v>10.371428571428572</v>
      </c>
      <c r="I138" s="4">
        <v>29.04</v>
      </c>
      <c r="J138" s="4">
        <v>10.371428571428572</v>
      </c>
      <c r="K138" s="4">
        <v>14.52</v>
      </c>
      <c r="L138" s="4">
        <v>5.1857142857142859</v>
      </c>
      <c r="M138" s="4">
        <v>31.46</v>
      </c>
      <c r="N138" s="4">
        <v>11.235714285714288</v>
      </c>
      <c r="O138" s="4">
        <v>29.04</v>
      </c>
      <c r="P138" s="4">
        <v>30.782399999999999</v>
      </c>
      <c r="Q138" s="4">
        <v>29.04</v>
      </c>
      <c r="R138" s="4">
        <v>40.655999999999999</v>
      </c>
      <c r="S138" s="4">
        <v>40.655999999999999</v>
      </c>
      <c r="T138" s="4">
        <v>40.655999999999999</v>
      </c>
      <c r="U138" s="4">
        <v>40.655999999999999</v>
      </c>
      <c r="V138" s="4" t="s">
        <v>938</v>
      </c>
      <c r="W138" s="4">
        <v>189</v>
      </c>
      <c r="X138" s="7" t="s">
        <v>647</v>
      </c>
    </row>
    <row r="139" spans="1:24" ht="15" x14ac:dyDescent="0.25">
      <c r="A139" s="4" t="s">
        <v>418</v>
      </c>
      <c r="B139" s="4" t="s">
        <v>899</v>
      </c>
      <c r="C139" s="4" t="s">
        <v>640</v>
      </c>
      <c r="D139" s="4">
        <v>6.9</v>
      </c>
      <c r="E139" s="4">
        <v>11</v>
      </c>
      <c r="F139" s="4">
        <v>1.5942028985507246</v>
      </c>
      <c r="G139" s="4">
        <v>43.4</v>
      </c>
      <c r="H139" s="4">
        <v>6.2898550724637676</v>
      </c>
      <c r="I139" s="4">
        <v>21.7</v>
      </c>
      <c r="J139" s="4">
        <v>3.1449275362318838</v>
      </c>
      <c r="K139" s="4">
        <v>27.900000000000002</v>
      </c>
      <c r="L139" s="4">
        <v>4.0434782608695654</v>
      </c>
      <c r="M139" s="4">
        <v>17.05</v>
      </c>
      <c r="N139" s="4">
        <v>2.4710144927536231</v>
      </c>
      <c r="O139" s="4">
        <v>50.344000000000001</v>
      </c>
      <c r="P139" s="4">
        <v>41.23</v>
      </c>
      <c r="Q139" s="4">
        <v>43.4</v>
      </c>
      <c r="R139" s="4">
        <v>55.118000000000002</v>
      </c>
      <c r="S139" s="4">
        <v>55.118000000000002</v>
      </c>
      <c r="T139" s="4">
        <v>55.118000000000002</v>
      </c>
      <c r="U139" s="4">
        <v>55.118000000000002</v>
      </c>
      <c r="V139" s="4" t="s">
        <v>640</v>
      </c>
      <c r="W139" s="4">
        <v>24</v>
      </c>
      <c r="X139" s="7" t="s">
        <v>649</v>
      </c>
    </row>
    <row r="140" spans="1:24" ht="15" x14ac:dyDescent="0.25">
      <c r="A140" s="4" t="s">
        <v>397</v>
      </c>
      <c r="B140" s="4" t="s">
        <v>888</v>
      </c>
      <c r="C140" s="4" t="s">
        <v>640</v>
      </c>
      <c r="D140" s="4">
        <v>6.2</v>
      </c>
      <c r="E140" s="4">
        <v>9</v>
      </c>
      <c r="F140" s="4">
        <v>1.4516129032258065</v>
      </c>
      <c r="G140" s="4">
        <v>40.300000000000004</v>
      </c>
      <c r="H140" s="4">
        <v>6.5000000000000009</v>
      </c>
      <c r="I140" s="4">
        <v>24.8</v>
      </c>
      <c r="J140" s="4">
        <v>4</v>
      </c>
      <c r="K140" s="4">
        <v>27.900000000000002</v>
      </c>
      <c r="L140" s="4">
        <v>4.5</v>
      </c>
      <c r="M140" s="4">
        <v>18.600000000000001</v>
      </c>
      <c r="N140" s="4">
        <v>3</v>
      </c>
      <c r="O140" s="4">
        <v>43.927000000000007</v>
      </c>
      <c r="P140" s="4">
        <v>38.285000000000004</v>
      </c>
      <c r="Q140" s="4">
        <v>40.300000000000004</v>
      </c>
      <c r="R140" s="4">
        <v>51.181000000000004</v>
      </c>
      <c r="S140" s="4">
        <v>51.181000000000004</v>
      </c>
      <c r="T140" s="4">
        <v>51.181000000000004</v>
      </c>
      <c r="U140" s="4">
        <v>51.181000000000004</v>
      </c>
      <c r="V140" s="4" t="s">
        <v>640</v>
      </c>
      <c r="W140" s="4">
        <v>28</v>
      </c>
      <c r="X140" s="7" t="s">
        <v>649</v>
      </c>
    </row>
    <row r="141" spans="1:24" ht="15" x14ac:dyDescent="0.25">
      <c r="A141" s="4" t="s">
        <v>618</v>
      </c>
      <c r="B141" s="4" t="s">
        <v>805</v>
      </c>
      <c r="C141" s="4" t="s">
        <v>640</v>
      </c>
      <c r="D141" s="4">
        <v>1.4</v>
      </c>
      <c r="E141" s="4">
        <v>0</v>
      </c>
      <c r="F141" s="4">
        <v>0</v>
      </c>
      <c r="G141" s="4">
        <v>29.04</v>
      </c>
      <c r="H141" s="4">
        <v>20.742857142857144</v>
      </c>
      <c r="I141" s="4">
        <v>38.72</v>
      </c>
      <c r="J141" s="4">
        <v>27.657142857142858</v>
      </c>
      <c r="K141" s="4">
        <v>19.36</v>
      </c>
      <c r="L141" s="4">
        <v>13.828571428571429</v>
      </c>
      <c r="M141" s="4">
        <v>24.2</v>
      </c>
      <c r="N141" s="4">
        <v>17.285714285714285</v>
      </c>
      <c r="O141" s="4">
        <v>30.201599999999999</v>
      </c>
      <c r="P141" s="4">
        <v>31.363199999999999</v>
      </c>
      <c r="Q141" s="4">
        <v>29.04</v>
      </c>
      <c r="R141" s="4">
        <v>40.655999999999999</v>
      </c>
      <c r="S141" s="4">
        <v>40.655999999999999</v>
      </c>
      <c r="T141" s="4">
        <v>40.655999999999999</v>
      </c>
      <c r="U141" s="4">
        <v>40.655999999999999</v>
      </c>
      <c r="V141" s="4" t="s">
        <v>640</v>
      </c>
      <c r="W141" s="4">
        <v>176</v>
      </c>
      <c r="X141" s="7" t="s">
        <v>647</v>
      </c>
    </row>
    <row r="142" spans="1:24" ht="15" x14ac:dyDescent="0.25">
      <c r="A142" s="4" t="s">
        <v>616</v>
      </c>
      <c r="B142" s="4" t="s">
        <v>856</v>
      </c>
      <c r="C142" s="4" t="s">
        <v>639</v>
      </c>
      <c r="D142" s="4">
        <v>2.2999999999999901</v>
      </c>
      <c r="E142" s="4">
        <v>0</v>
      </c>
      <c r="F142" s="4">
        <v>0</v>
      </c>
      <c r="G142" s="4">
        <v>48.4</v>
      </c>
      <c r="H142" s="4">
        <v>21.043478260869655</v>
      </c>
      <c r="I142" s="4">
        <v>65.34</v>
      </c>
      <c r="J142" s="4">
        <v>28.408695652174039</v>
      </c>
      <c r="K142" s="4">
        <v>31.46</v>
      </c>
      <c r="L142" s="4">
        <v>13.678260869565277</v>
      </c>
      <c r="M142" s="4">
        <v>41.14</v>
      </c>
      <c r="N142" s="4">
        <v>17.886956521739208</v>
      </c>
      <c r="O142" s="4">
        <v>50.335999999999999</v>
      </c>
      <c r="P142" s="4">
        <v>52.271999999999998</v>
      </c>
      <c r="Q142" s="4">
        <v>48.4</v>
      </c>
      <c r="R142" s="4">
        <v>67.759999999999991</v>
      </c>
      <c r="S142" s="4">
        <v>67.759999999999991</v>
      </c>
      <c r="T142" s="4">
        <v>67.759999999999991</v>
      </c>
      <c r="U142" s="4">
        <v>67.759999999999991</v>
      </c>
      <c r="V142" s="4" t="s">
        <v>639</v>
      </c>
      <c r="W142" s="4">
        <v>178</v>
      </c>
      <c r="X142" s="7" t="s">
        <v>647</v>
      </c>
    </row>
    <row r="143" spans="1:24" ht="15" x14ac:dyDescent="0.25">
      <c r="A143" s="4" t="s">
        <v>617</v>
      </c>
      <c r="B143" s="4" t="s">
        <v>806</v>
      </c>
      <c r="C143" s="4" t="s">
        <v>938</v>
      </c>
      <c r="D143" s="4">
        <v>1.4</v>
      </c>
      <c r="E143" s="4">
        <v>0</v>
      </c>
      <c r="F143" s="4">
        <v>0</v>
      </c>
      <c r="G143" s="4">
        <v>29.04</v>
      </c>
      <c r="H143" s="4">
        <v>20.742857142857144</v>
      </c>
      <c r="I143" s="4">
        <v>38.72</v>
      </c>
      <c r="J143" s="4">
        <v>27.657142857142858</v>
      </c>
      <c r="K143" s="4">
        <v>19.36</v>
      </c>
      <c r="L143" s="4">
        <v>13.828571428571429</v>
      </c>
      <c r="M143" s="4">
        <v>24.2</v>
      </c>
      <c r="N143" s="4">
        <v>17.285714285714285</v>
      </c>
      <c r="O143" s="4">
        <v>30.201599999999999</v>
      </c>
      <c r="P143" s="4">
        <v>31.363199999999999</v>
      </c>
      <c r="Q143" s="4">
        <v>29.04</v>
      </c>
      <c r="R143" s="4">
        <v>40.655999999999999</v>
      </c>
      <c r="S143" s="4">
        <v>40.655999999999999</v>
      </c>
      <c r="T143" s="4">
        <v>40.655999999999999</v>
      </c>
      <c r="U143" s="4">
        <v>40.655999999999999</v>
      </c>
      <c r="V143" s="4" t="s">
        <v>938</v>
      </c>
      <c r="W143" s="4">
        <v>177</v>
      </c>
      <c r="X143" s="7" t="s">
        <v>647</v>
      </c>
    </row>
    <row r="144" spans="1:24" ht="15" x14ac:dyDescent="0.25">
      <c r="A144" s="4" t="s">
        <v>615</v>
      </c>
      <c r="B144" s="4" t="s">
        <v>782</v>
      </c>
      <c r="C144" s="4" t="s">
        <v>594</v>
      </c>
      <c r="D144" s="4">
        <v>0.9</v>
      </c>
      <c r="E144" s="4">
        <v>0</v>
      </c>
      <c r="F144" s="4">
        <v>0</v>
      </c>
      <c r="G144" s="4">
        <v>19.36</v>
      </c>
      <c r="H144" s="4">
        <v>21.511111111111109</v>
      </c>
      <c r="I144" s="4">
        <v>24.2</v>
      </c>
      <c r="J144" s="4">
        <v>26.888888888888886</v>
      </c>
      <c r="K144" s="4">
        <v>12.1</v>
      </c>
      <c r="L144" s="4">
        <v>13.444444444444443</v>
      </c>
      <c r="M144" s="4">
        <v>14.52</v>
      </c>
      <c r="N144" s="4">
        <v>16.133333333333333</v>
      </c>
      <c r="O144" s="4">
        <v>20.134399999999999</v>
      </c>
      <c r="P144" s="4">
        <v>20.908799999999999</v>
      </c>
      <c r="Q144" s="4">
        <v>19.36</v>
      </c>
      <c r="R144" s="4">
        <v>27.103999999999999</v>
      </c>
      <c r="S144" s="4">
        <v>27.103999999999999</v>
      </c>
      <c r="T144" s="4">
        <v>27.103999999999999</v>
      </c>
      <c r="U144" s="4">
        <v>27.103999999999999</v>
      </c>
      <c r="V144" s="4" t="s">
        <v>594</v>
      </c>
      <c r="W144" s="4">
        <v>179</v>
      </c>
      <c r="X144" s="7" t="s">
        <v>647</v>
      </c>
    </row>
    <row r="145" spans="1:24" ht="15" x14ac:dyDescent="0.25">
      <c r="A145" s="4" t="s">
        <v>449</v>
      </c>
      <c r="B145" s="4" t="s">
        <v>796</v>
      </c>
      <c r="C145" s="4" t="s">
        <v>938</v>
      </c>
      <c r="D145" s="4">
        <v>1.2</v>
      </c>
      <c r="E145" s="4">
        <v>0</v>
      </c>
      <c r="F145" s="4">
        <v>0</v>
      </c>
      <c r="G145" s="4">
        <v>26.619999999999997</v>
      </c>
      <c r="H145" s="4">
        <v>22.183333333333334</v>
      </c>
      <c r="I145" s="4">
        <v>31.46</v>
      </c>
      <c r="J145" s="4">
        <v>26.216666666666669</v>
      </c>
      <c r="K145" s="4">
        <v>19.36</v>
      </c>
      <c r="L145" s="4">
        <v>16.133333333333333</v>
      </c>
      <c r="M145" s="4">
        <v>24.2</v>
      </c>
      <c r="N145" s="4">
        <v>20.166666666666668</v>
      </c>
      <c r="O145" s="4">
        <v>26.619999999999997</v>
      </c>
      <c r="P145" s="4">
        <v>31.145399999999999</v>
      </c>
      <c r="Q145" s="4">
        <v>26.619999999999997</v>
      </c>
      <c r="R145" s="4">
        <v>37.267999999999994</v>
      </c>
      <c r="S145" s="4">
        <v>37.267999999999994</v>
      </c>
      <c r="T145" s="4">
        <v>37.267999999999994</v>
      </c>
      <c r="U145" s="4">
        <v>37.267999999999994</v>
      </c>
      <c r="V145" s="4" t="s">
        <v>938</v>
      </c>
      <c r="W145" s="4">
        <v>108</v>
      </c>
      <c r="X145" s="7" t="s">
        <v>647</v>
      </c>
    </row>
    <row r="146" spans="1:24" ht="15" x14ac:dyDescent="0.25">
      <c r="A146" s="4" t="s">
        <v>447</v>
      </c>
      <c r="B146" s="4" t="s">
        <v>776</v>
      </c>
      <c r="C146" s="4" t="s">
        <v>594</v>
      </c>
      <c r="D146" s="4">
        <v>0.8</v>
      </c>
      <c r="E146" s="4">
        <v>0</v>
      </c>
      <c r="F146" s="4">
        <v>0</v>
      </c>
      <c r="G146" s="4">
        <v>16.939999999999998</v>
      </c>
      <c r="H146" s="4">
        <v>21.174999999999997</v>
      </c>
      <c r="I146" s="4">
        <v>19.36</v>
      </c>
      <c r="J146" s="4">
        <v>24.2</v>
      </c>
      <c r="K146" s="4">
        <v>12.1</v>
      </c>
      <c r="L146" s="4">
        <v>15.124999999999998</v>
      </c>
      <c r="M146" s="4">
        <v>14.52</v>
      </c>
      <c r="N146" s="4">
        <v>18.149999999999999</v>
      </c>
      <c r="O146" s="4">
        <v>16.939999999999998</v>
      </c>
      <c r="P146" s="4">
        <v>19.819799999999997</v>
      </c>
      <c r="Q146" s="4">
        <v>16.939999999999998</v>
      </c>
      <c r="R146" s="4">
        <v>23.715999999999994</v>
      </c>
      <c r="S146" s="4">
        <v>23.715999999999994</v>
      </c>
      <c r="T146" s="4">
        <v>23.715999999999994</v>
      </c>
      <c r="U146" s="4">
        <v>23.715999999999994</v>
      </c>
      <c r="V146" s="4" t="s">
        <v>594</v>
      </c>
      <c r="W146" s="4">
        <v>110</v>
      </c>
      <c r="X146" s="7" t="s">
        <v>647</v>
      </c>
    </row>
    <row r="147" spans="1:24" ht="15" x14ac:dyDescent="0.25">
      <c r="A147" s="4" t="s">
        <v>448</v>
      </c>
      <c r="B147" s="4" t="s">
        <v>855</v>
      </c>
      <c r="C147" s="4" t="s">
        <v>639</v>
      </c>
      <c r="D147" s="4">
        <v>2</v>
      </c>
      <c r="E147" s="4">
        <v>0</v>
      </c>
      <c r="F147" s="4">
        <v>0</v>
      </c>
      <c r="G147" s="4">
        <v>45.98</v>
      </c>
      <c r="H147" s="4">
        <v>22.99</v>
      </c>
      <c r="I147" s="4">
        <v>53.239999999999995</v>
      </c>
      <c r="J147" s="4">
        <v>26.619999999999997</v>
      </c>
      <c r="K147" s="4">
        <v>31.46</v>
      </c>
      <c r="L147" s="4">
        <v>15.73</v>
      </c>
      <c r="M147" s="4">
        <v>41.14</v>
      </c>
      <c r="N147" s="4">
        <v>20.57</v>
      </c>
      <c r="O147" s="4">
        <v>45.98</v>
      </c>
      <c r="P147" s="4">
        <v>53.796599999999998</v>
      </c>
      <c r="Q147" s="4">
        <v>45.98</v>
      </c>
      <c r="R147" s="4">
        <v>64.371999999999986</v>
      </c>
      <c r="S147" s="4">
        <v>64.371999999999986</v>
      </c>
      <c r="T147" s="4">
        <v>64.371999999999986</v>
      </c>
      <c r="U147" s="4">
        <v>64.371999999999986</v>
      </c>
      <c r="V147" s="4" t="s">
        <v>639</v>
      </c>
      <c r="W147" s="4">
        <v>109</v>
      </c>
      <c r="X147" s="7" t="s">
        <v>647</v>
      </c>
    </row>
    <row r="148" spans="1:24" ht="15" x14ac:dyDescent="0.25">
      <c r="A148" s="4" t="s">
        <v>450</v>
      </c>
      <c r="B148" s="4" t="s">
        <v>828</v>
      </c>
      <c r="C148" s="4" t="s">
        <v>640</v>
      </c>
      <c r="D148" s="4">
        <v>2.5</v>
      </c>
      <c r="E148" s="4">
        <v>0</v>
      </c>
      <c r="F148" s="4">
        <v>0</v>
      </c>
      <c r="G148" s="4">
        <v>33.879999999999995</v>
      </c>
      <c r="H148" s="4">
        <v>13.551999999999998</v>
      </c>
      <c r="I148" s="4">
        <v>65.34</v>
      </c>
      <c r="J148" s="4">
        <v>26.136000000000003</v>
      </c>
      <c r="K148" s="4">
        <v>38.72</v>
      </c>
      <c r="L148" s="4">
        <v>15.488</v>
      </c>
      <c r="M148" s="4">
        <v>50.82</v>
      </c>
      <c r="N148" s="4">
        <v>20.327999999999999</v>
      </c>
      <c r="O148" s="4">
        <v>33.879999999999995</v>
      </c>
      <c r="P148" s="4">
        <v>39.639599999999994</v>
      </c>
      <c r="Q148" s="4">
        <v>33.879999999999995</v>
      </c>
      <c r="R148" s="4">
        <v>47.431999999999988</v>
      </c>
      <c r="S148" s="4">
        <v>47.431999999999988</v>
      </c>
      <c r="T148" s="4">
        <v>47.431999999999988</v>
      </c>
      <c r="U148" s="4">
        <v>47.431999999999988</v>
      </c>
      <c r="V148" s="4" t="s">
        <v>640</v>
      </c>
      <c r="W148" s="4">
        <v>107</v>
      </c>
      <c r="X148" s="7" t="s">
        <v>647</v>
      </c>
    </row>
    <row r="149" spans="1:24" ht="15" x14ac:dyDescent="0.25">
      <c r="A149" s="4" t="s">
        <v>559</v>
      </c>
      <c r="B149" s="4" t="s">
        <v>559</v>
      </c>
      <c r="C149" s="4" t="s">
        <v>594</v>
      </c>
      <c r="D149" s="4">
        <v>1.2</v>
      </c>
      <c r="E149" s="4">
        <v>0</v>
      </c>
      <c r="F149" s="4">
        <v>0</v>
      </c>
      <c r="G149" s="4">
        <v>6</v>
      </c>
      <c r="H149" s="4">
        <v>5</v>
      </c>
      <c r="I149" s="4">
        <v>10</v>
      </c>
      <c r="J149" s="4">
        <v>8.3333333333333339</v>
      </c>
      <c r="K149" s="4">
        <v>8</v>
      </c>
      <c r="L149" s="4">
        <v>6.666666666666667</v>
      </c>
      <c r="M149" s="4">
        <v>10</v>
      </c>
      <c r="N149" s="4">
        <v>8.3333333333333339</v>
      </c>
      <c r="O149" s="4">
        <v>6</v>
      </c>
      <c r="P149" s="4">
        <v>6</v>
      </c>
      <c r="Q149" s="4">
        <v>6</v>
      </c>
      <c r="R149" s="4">
        <v>6</v>
      </c>
      <c r="S149" s="4">
        <v>6</v>
      </c>
      <c r="T149" s="4">
        <v>6</v>
      </c>
      <c r="U149" s="4">
        <v>6</v>
      </c>
      <c r="V149" s="4" t="s">
        <v>594</v>
      </c>
      <c r="W149" s="4">
        <v>5</v>
      </c>
      <c r="X149" s="7" t="s">
        <v>935</v>
      </c>
    </row>
    <row r="150" spans="1:24" ht="15" x14ac:dyDescent="0.25">
      <c r="A150" s="4" t="s">
        <v>557</v>
      </c>
      <c r="B150" s="4" t="s">
        <v>557</v>
      </c>
      <c r="C150" s="4" t="s">
        <v>594</v>
      </c>
      <c r="D150" s="4">
        <v>1.2</v>
      </c>
      <c r="E150" s="4">
        <v>0</v>
      </c>
      <c r="F150" s="4">
        <v>0</v>
      </c>
      <c r="G150" s="4">
        <v>6</v>
      </c>
      <c r="H150" s="4">
        <v>5</v>
      </c>
      <c r="I150" s="4">
        <v>10</v>
      </c>
      <c r="J150" s="4">
        <v>8.3333333333333339</v>
      </c>
      <c r="K150" s="4">
        <v>6</v>
      </c>
      <c r="L150" s="4">
        <v>5</v>
      </c>
      <c r="M150" s="4">
        <v>8</v>
      </c>
      <c r="N150" s="4">
        <v>6.666666666666667</v>
      </c>
      <c r="O150" s="4">
        <v>6</v>
      </c>
      <c r="P150" s="4">
        <v>6</v>
      </c>
      <c r="Q150" s="4">
        <v>6</v>
      </c>
      <c r="R150" s="4">
        <v>6</v>
      </c>
      <c r="S150" s="4">
        <v>6</v>
      </c>
      <c r="T150" s="4">
        <v>6</v>
      </c>
      <c r="U150" s="4">
        <v>6</v>
      </c>
      <c r="V150" s="4" t="s">
        <v>594</v>
      </c>
      <c r="W150" s="4">
        <v>7</v>
      </c>
      <c r="X150" s="7" t="s">
        <v>935</v>
      </c>
    </row>
    <row r="151" spans="1:24" ht="15" x14ac:dyDescent="0.25">
      <c r="A151" s="4" t="s">
        <v>558</v>
      </c>
      <c r="B151" s="4" t="s">
        <v>558</v>
      </c>
      <c r="C151" s="4" t="s">
        <v>594</v>
      </c>
      <c r="D151" s="4">
        <v>1.2</v>
      </c>
      <c r="E151" s="4">
        <v>0</v>
      </c>
      <c r="F151" s="4">
        <v>0</v>
      </c>
      <c r="G151" s="4">
        <v>6</v>
      </c>
      <c r="H151" s="4">
        <v>5</v>
      </c>
      <c r="I151" s="4">
        <v>12</v>
      </c>
      <c r="J151" s="4">
        <v>10</v>
      </c>
      <c r="K151" s="4">
        <v>6</v>
      </c>
      <c r="L151" s="4">
        <v>5</v>
      </c>
      <c r="M151" s="4">
        <v>8</v>
      </c>
      <c r="N151" s="4">
        <v>6.666666666666667</v>
      </c>
      <c r="O151" s="4">
        <v>6</v>
      </c>
      <c r="P151" s="4">
        <v>6</v>
      </c>
      <c r="Q151" s="4">
        <v>6</v>
      </c>
      <c r="R151" s="4">
        <v>6</v>
      </c>
      <c r="S151" s="4">
        <v>6</v>
      </c>
      <c r="T151" s="4">
        <v>6</v>
      </c>
      <c r="U151" s="4">
        <v>6</v>
      </c>
      <c r="V151" s="4" t="s">
        <v>594</v>
      </c>
      <c r="W151" s="4">
        <v>6</v>
      </c>
      <c r="X151" s="7" t="s">
        <v>935</v>
      </c>
    </row>
    <row r="152" spans="1:24" ht="15" x14ac:dyDescent="0.25">
      <c r="A152" s="4" t="s">
        <v>377</v>
      </c>
      <c r="B152" s="4" t="s">
        <v>798</v>
      </c>
      <c r="C152" s="4" t="s">
        <v>594</v>
      </c>
      <c r="D152" s="4">
        <v>1.5</v>
      </c>
      <c r="E152" s="4">
        <v>0</v>
      </c>
      <c r="F152" s="4">
        <v>0</v>
      </c>
      <c r="G152" s="4">
        <v>18.600000000000001</v>
      </c>
      <c r="H152" s="4">
        <v>12.4</v>
      </c>
      <c r="I152" s="4">
        <v>18.600000000000001</v>
      </c>
      <c r="J152" s="4">
        <v>12.4</v>
      </c>
      <c r="K152" s="4">
        <v>10.85</v>
      </c>
      <c r="L152" s="4">
        <v>7.2333333333333334</v>
      </c>
      <c r="M152" s="4">
        <v>13.950000000000001</v>
      </c>
      <c r="N152" s="4">
        <v>9.3000000000000007</v>
      </c>
      <c r="O152" s="4">
        <v>18.600000000000001</v>
      </c>
      <c r="P152" s="4">
        <v>20.46</v>
      </c>
      <c r="Q152" s="4">
        <v>18.600000000000001</v>
      </c>
      <c r="R152" s="4">
        <v>23.622000000000003</v>
      </c>
      <c r="S152" s="4">
        <v>23.622000000000003</v>
      </c>
      <c r="T152" s="4">
        <v>23.622000000000003</v>
      </c>
      <c r="U152" s="4">
        <v>23.622000000000003</v>
      </c>
      <c r="V152" s="4" t="s">
        <v>594</v>
      </c>
      <c r="W152" s="4">
        <v>130</v>
      </c>
      <c r="X152" s="7" t="s">
        <v>649</v>
      </c>
    </row>
    <row r="153" spans="1:24" ht="15" x14ac:dyDescent="0.25">
      <c r="A153" s="4" t="s">
        <v>319</v>
      </c>
      <c r="B153" s="4" t="s">
        <v>797</v>
      </c>
      <c r="C153" s="4" t="s">
        <v>594</v>
      </c>
      <c r="D153" s="4">
        <v>2.5</v>
      </c>
      <c r="E153" s="4">
        <v>0</v>
      </c>
      <c r="F153" s="4">
        <v>0</v>
      </c>
      <c r="G153" s="4">
        <v>18.600000000000001</v>
      </c>
      <c r="H153" s="4">
        <v>7.44</v>
      </c>
      <c r="I153" s="4">
        <v>18.600000000000001</v>
      </c>
      <c r="J153" s="4">
        <v>7.44</v>
      </c>
      <c r="K153" s="4">
        <v>15.5</v>
      </c>
      <c r="L153" s="4">
        <v>6.2</v>
      </c>
      <c r="M153" s="4">
        <v>10.85</v>
      </c>
      <c r="N153" s="4">
        <v>4.34</v>
      </c>
      <c r="O153" s="4">
        <v>18.600000000000001</v>
      </c>
      <c r="P153" s="4">
        <v>20.274000000000001</v>
      </c>
      <c r="Q153" s="4">
        <v>18.600000000000001</v>
      </c>
      <c r="R153" s="4">
        <v>23.622000000000003</v>
      </c>
      <c r="S153" s="4">
        <v>23.622000000000003</v>
      </c>
      <c r="T153" s="4">
        <v>23.622000000000003</v>
      </c>
      <c r="U153" s="4">
        <v>23.622000000000003</v>
      </c>
      <c r="V153" s="4" t="s">
        <v>594</v>
      </c>
      <c r="W153" s="4">
        <v>114</v>
      </c>
      <c r="X153" s="7" t="s">
        <v>649</v>
      </c>
    </row>
    <row r="154" spans="1:24" ht="15" x14ac:dyDescent="0.25">
      <c r="A154" s="4" t="s">
        <v>629</v>
      </c>
      <c r="B154" s="4" t="s">
        <v>629</v>
      </c>
      <c r="C154" s="4" t="s">
        <v>938</v>
      </c>
      <c r="D154" s="4">
        <v>0.5</v>
      </c>
      <c r="E154" s="4">
        <v>0</v>
      </c>
      <c r="F154" s="4">
        <v>0</v>
      </c>
      <c r="G154" s="4">
        <v>3</v>
      </c>
      <c r="H154" s="4">
        <v>6</v>
      </c>
      <c r="I154" s="4">
        <v>5</v>
      </c>
      <c r="J154" s="4">
        <v>10</v>
      </c>
      <c r="K154" s="4">
        <v>3</v>
      </c>
      <c r="L154" s="4">
        <v>6</v>
      </c>
      <c r="M154" s="4">
        <v>3</v>
      </c>
      <c r="N154" s="4">
        <v>6</v>
      </c>
      <c r="O154" s="4">
        <v>3</v>
      </c>
      <c r="P154" s="4">
        <v>3</v>
      </c>
      <c r="Q154" s="4">
        <v>3</v>
      </c>
      <c r="R154" s="4">
        <v>3</v>
      </c>
      <c r="S154" s="4">
        <v>3</v>
      </c>
      <c r="T154" s="4">
        <v>3</v>
      </c>
      <c r="U154" s="4">
        <v>3</v>
      </c>
      <c r="V154" s="4" t="s">
        <v>938</v>
      </c>
      <c r="W154" s="4">
        <v>41</v>
      </c>
      <c r="X154" s="7" t="s">
        <v>935</v>
      </c>
    </row>
    <row r="155" spans="1:24" ht="15" x14ac:dyDescent="0.25">
      <c r="A155" s="4" t="s">
        <v>628</v>
      </c>
      <c r="B155" s="4" t="s">
        <v>628</v>
      </c>
      <c r="C155" s="4" t="s">
        <v>639</v>
      </c>
      <c r="D155" s="4">
        <v>3.1</v>
      </c>
      <c r="E155" s="4">
        <v>0</v>
      </c>
      <c r="F155" s="4">
        <v>0</v>
      </c>
      <c r="G155" s="4">
        <v>20</v>
      </c>
      <c r="H155" s="4">
        <v>6.4516129032258061</v>
      </c>
      <c r="I155" s="4">
        <v>31</v>
      </c>
      <c r="J155" s="4">
        <v>10</v>
      </c>
      <c r="K155" s="4">
        <v>17</v>
      </c>
      <c r="L155" s="4">
        <v>5.4838709677419351</v>
      </c>
      <c r="M155" s="4">
        <v>17</v>
      </c>
      <c r="N155" s="4">
        <v>5.4838709677419351</v>
      </c>
      <c r="O155" s="4">
        <v>20</v>
      </c>
      <c r="P155" s="4">
        <v>20</v>
      </c>
      <c r="Q155" s="4">
        <v>20</v>
      </c>
      <c r="R155" s="4">
        <v>20</v>
      </c>
      <c r="S155" s="4">
        <v>20</v>
      </c>
      <c r="T155" s="4">
        <v>20</v>
      </c>
      <c r="U155" s="4">
        <v>20</v>
      </c>
      <c r="V155" s="4" t="s">
        <v>639</v>
      </c>
      <c r="W155" s="4">
        <v>42</v>
      </c>
      <c r="X155" s="7" t="s">
        <v>935</v>
      </c>
    </row>
    <row r="156" spans="1:24" ht="15" x14ac:dyDescent="0.25">
      <c r="A156" s="4" t="s">
        <v>630</v>
      </c>
      <c r="B156" s="4" t="s">
        <v>630</v>
      </c>
      <c r="C156" s="4" t="s">
        <v>640</v>
      </c>
      <c r="D156" s="4">
        <v>1.8</v>
      </c>
      <c r="E156" s="4">
        <v>0</v>
      </c>
      <c r="F156" s="4">
        <v>0</v>
      </c>
      <c r="G156" s="4">
        <v>12</v>
      </c>
      <c r="H156" s="4">
        <v>6.6666666666666661</v>
      </c>
      <c r="I156" s="4">
        <v>18</v>
      </c>
      <c r="J156" s="4">
        <v>10</v>
      </c>
      <c r="K156" s="4">
        <v>10</v>
      </c>
      <c r="L156" s="4">
        <v>5.5555555555555554</v>
      </c>
      <c r="M156" s="4">
        <v>10</v>
      </c>
      <c r="N156" s="4">
        <v>5.5555555555555554</v>
      </c>
      <c r="O156" s="4">
        <v>12</v>
      </c>
      <c r="P156" s="4">
        <v>12</v>
      </c>
      <c r="Q156" s="4">
        <v>12</v>
      </c>
      <c r="R156" s="4">
        <v>12</v>
      </c>
      <c r="S156" s="4">
        <v>12</v>
      </c>
      <c r="T156" s="4">
        <v>12</v>
      </c>
      <c r="U156" s="4">
        <v>12</v>
      </c>
      <c r="V156" s="4" t="s">
        <v>640</v>
      </c>
      <c r="W156" s="4">
        <v>40</v>
      </c>
      <c r="X156" s="7" t="s">
        <v>935</v>
      </c>
    </row>
    <row r="157" spans="1:24" ht="15" x14ac:dyDescent="0.25">
      <c r="A157" s="4" t="s">
        <v>612</v>
      </c>
      <c r="B157" s="4" t="s">
        <v>612</v>
      </c>
      <c r="C157" s="4" t="s">
        <v>639</v>
      </c>
      <c r="D157" s="4">
        <v>12</v>
      </c>
      <c r="E157" s="4">
        <v>19</v>
      </c>
      <c r="F157" s="4">
        <v>1.5833333333333333</v>
      </c>
      <c r="G157" s="4">
        <v>70</v>
      </c>
      <c r="H157" s="4">
        <v>5.833333333333333</v>
      </c>
      <c r="I157" s="4">
        <v>36</v>
      </c>
      <c r="J157" s="4">
        <v>3</v>
      </c>
      <c r="K157" s="4">
        <v>46</v>
      </c>
      <c r="L157" s="4">
        <v>3.8333333333333335</v>
      </c>
      <c r="M157" s="4">
        <v>40</v>
      </c>
      <c r="N157" s="4">
        <v>3.3333333333333335</v>
      </c>
      <c r="O157" s="4">
        <v>79.099999999999994</v>
      </c>
      <c r="P157" s="4">
        <v>66.5</v>
      </c>
      <c r="Q157" s="4">
        <v>70</v>
      </c>
      <c r="R157" s="4">
        <v>70</v>
      </c>
      <c r="S157" s="4">
        <v>70</v>
      </c>
      <c r="T157" s="4">
        <v>70</v>
      </c>
      <c r="U157" s="4">
        <v>70</v>
      </c>
      <c r="V157" s="4" t="s">
        <v>639</v>
      </c>
      <c r="W157" s="4">
        <v>46</v>
      </c>
      <c r="X157" s="7" t="s">
        <v>935</v>
      </c>
    </row>
    <row r="158" spans="1:24" ht="15" x14ac:dyDescent="0.25">
      <c r="A158" s="4" t="s">
        <v>613</v>
      </c>
      <c r="B158" s="4" t="s">
        <v>613</v>
      </c>
      <c r="C158" s="4" t="s">
        <v>938</v>
      </c>
      <c r="D158" s="4">
        <v>4</v>
      </c>
      <c r="E158" s="4">
        <v>6</v>
      </c>
      <c r="F158" s="4">
        <v>1.5</v>
      </c>
      <c r="G158" s="4">
        <v>29</v>
      </c>
      <c r="H158" s="4">
        <v>7.25</v>
      </c>
      <c r="I158" s="4">
        <v>12</v>
      </c>
      <c r="J158" s="4">
        <v>3</v>
      </c>
      <c r="K158" s="4">
        <v>16</v>
      </c>
      <c r="L158" s="4">
        <v>4</v>
      </c>
      <c r="M158" s="4">
        <v>14</v>
      </c>
      <c r="N158" s="4">
        <v>3.5</v>
      </c>
      <c r="O158" s="4">
        <v>32.770000000000003</v>
      </c>
      <c r="P158" s="4">
        <v>27.55</v>
      </c>
      <c r="Q158" s="4">
        <v>29</v>
      </c>
      <c r="R158" s="4">
        <v>29</v>
      </c>
      <c r="S158" s="4">
        <v>29</v>
      </c>
      <c r="T158" s="4">
        <v>29</v>
      </c>
      <c r="U158" s="4">
        <v>29</v>
      </c>
      <c r="V158" s="4" t="s">
        <v>938</v>
      </c>
      <c r="W158" s="4">
        <v>45</v>
      </c>
      <c r="X158" s="7" t="s">
        <v>935</v>
      </c>
    </row>
    <row r="159" spans="1:24" ht="15" x14ac:dyDescent="0.25">
      <c r="A159" s="4" t="s">
        <v>611</v>
      </c>
      <c r="B159" s="4" t="s">
        <v>611</v>
      </c>
      <c r="C159" s="4" t="s">
        <v>594</v>
      </c>
      <c r="D159" s="4">
        <v>5.5</v>
      </c>
      <c r="E159" s="4">
        <v>9</v>
      </c>
      <c r="F159" s="4">
        <v>1.6363636363636365</v>
      </c>
      <c r="G159" s="4">
        <v>32</v>
      </c>
      <c r="H159" s="4">
        <v>5.8181818181818183</v>
      </c>
      <c r="I159" s="4">
        <v>16</v>
      </c>
      <c r="J159" s="4">
        <v>2.9090909090909092</v>
      </c>
      <c r="K159" s="4">
        <v>22</v>
      </c>
      <c r="L159" s="4">
        <v>4</v>
      </c>
      <c r="M159" s="4">
        <v>18</v>
      </c>
      <c r="N159" s="4">
        <v>3.2727272727272729</v>
      </c>
      <c r="O159" s="4">
        <v>36.159999999999997</v>
      </c>
      <c r="P159" s="4">
        <v>30.4</v>
      </c>
      <c r="Q159" s="4">
        <v>32</v>
      </c>
      <c r="R159" s="4">
        <v>32</v>
      </c>
      <c r="S159" s="4">
        <v>32</v>
      </c>
      <c r="T159" s="4">
        <v>32</v>
      </c>
      <c r="U159" s="4">
        <v>32</v>
      </c>
      <c r="V159" s="4" t="s">
        <v>594</v>
      </c>
      <c r="W159" s="4">
        <v>47</v>
      </c>
      <c r="X159" s="7" t="s">
        <v>935</v>
      </c>
    </row>
    <row r="160" spans="1:24" ht="15" x14ac:dyDescent="0.25">
      <c r="A160" s="4" t="s">
        <v>614</v>
      </c>
      <c r="B160" s="4" t="s">
        <v>614</v>
      </c>
      <c r="C160" s="4" t="s">
        <v>640</v>
      </c>
      <c r="D160" s="4">
        <v>7</v>
      </c>
      <c r="E160" s="4">
        <v>11</v>
      </c>
      <c r="F160" s="4">
        <v>1.5714285714285714</v>
      </c>
      <c r="G160" s="4">
        <v>40</v>
      </c>
      <c r="H160" s="4">
        <v>5.7142857142857144</v>
      </c>
      <c r="I160" s="4">
        <v>20</v>
      </c>
      <c r="J160" s="4">
        <v>2.8571428571428572</v>
      </c>
      <c r="K160" s="4">
        <v>28</v>
      </c>
      <c r="L160" s="4">
        <v>4</v>
      </c>
      <c r="M160" s="4">
        <v>24</v>
      </c>
      <c r="N160" s="4">
        <v>3.4285714285714284</v>
      </c>
      <c r="O160" s="4">
        <v>45.2</v>
      </c>
      <c r="P160" s="4">
        <v>38</v>
      </c>
      <c r="Q160" s="4">
        <v>40</v>
      </c>
      <c r="R160" s="4">
        <v>40</v>
      </c>
      <c r="S160" s="4">
        <v>40</v>
      </c>
      <c r="T160" s="4">
        <v>40</v>
      </c>
      <c r="U160" s="4">
        <v>40</v>
      </c>
      <c r="V160" s="4" t="s">
        <v>640</v>
      </c>
      <c r="W160" s="4">
        <v>44</v>
      </c>
      <c r="X160" s="7" t="s">
        <v>935</v>
      </c>
    </row>
    <row r="161" spans="1:24" ht="15" x14ac:dyDescent="0.25">
      <c r="A161" s="4" t="s">
        <v>331</v>
      </c>
      <c r="B161" s="4" t="s">
        <v>771</v>
      </c>
      <c r="C161" s="4" t="s">
        <v>938</v>
      </c>
      <c r="D161" s="4">
        <v>0.9</v>
      </c>
      <c r="E161" s="4">
        <v>0</v>
      </c>
      <c r="F161" s="4">
        <v>0</v>
      </c>
      <c r="G161" s="4">
        <v>9.3000000000000007</v>
      </c>
      <c r="H161" s="4">
        <v>10.333333333333334</v>
      </c>
      <c r="I161" s="4">
        <v>34.1</v>
      </c>
      <c r="J161" s="4">
        <v>37.888888888888893</v>
      </c>
      <c r="K161" s="4">
        <v>26.35</v>
      </c>
      <c r="L161" s="4">
        <v>29.277777777777779</v>
      </c>
      <c r="M161" s="4">
        <v>18.600000000000001</v>
      </c>
      <c r="N161" s="4">
        <v>20.666666666666668</v>
      </c>
      <c r="O161" s="4">
        <v>9.3000000000000007</v>
      </c>
      <c r="P161" s="4">
        <v>11.16</v>
      </c>
      <c r="Q161" s="4">
        <v>9.3000000000000007</v>
      </c>
      <c r="R161" s="4">
        <v>11.811000000000002</v>
      </c>
      <c r="S161" s="4">
        <v>11.811000000000002</v>
      </c>
      <c r="T161" s="4">
        <v>11.811000000000002</v>
      </c>
      <c r="U161" s="4">
        <v>11.811000000000002</v>
      </c>
      <c r="V161" s="4" t="s">
        <v>938</v>
      </c>
      <c r="W161" s="4">
        <v>59</v>
      </c>
      <c r="X161" s="7" t="s">
        <v>649</v>
      </c>
    </row>
    <row r="162" spans="1:24" ht="15" x14ac:dyDescent="0.25">
      <c r="A162" s="4" t="s">
        <v>329</v>
      </c>
      <c r="B162" s="4" t="s">
        <v>768</v>
      </c>
      <c r="C162" s="4" t="s">
        <v>594</v>
      </c>
      <c r="D162" s="4">
        <v>0.6</v>
      </c>
      <c r="E162" s="4">
        <v>0</v>
      </c>
      <c r="F162" s="4">
        <v>0</v>
      </c>
      <c r="G162" s="4">
        <v>4.6500000000000004</v>
      </c>
      <c r="H162" s="4">
        <v>7.7500000000000009</v>
      </c>
      <c r="I162" s="4">
        <v>48.050000000000004</v>
      </c>
      <c r="J162" s="4">
        <v>80.083333333333343</v>
      </c>
      <c r="K162" s="4">
        <v>17.05</v>
      </c>
      <c r="L162" s="4">
        <v>28.416666666666668</v>
      </c>
      <c r="M162" s="4">
        <v>12.4</v>
      </c>
      <c r="N162" s="4">
        <v>20.666666666666668</v>
      </c>
      <c r="O162" s="4">
        <v>4.6500000000000004</v>
      </c>
      <c r="P162" s="4">
        <v>5.58</v>
      </c>
      <c r="Q162" s="4">
        <v>4.6500000000000004</v>
      </c>
      <c r="R162" s="4">
        <v>5.9055000000000009</v>
      </c>
      <c r="S162" s="4">
        <v>5.9055000000000009</v>
      </c>
      <c r="T162" s="4">
        <v>5.9055000000000009</v>
      </c>
      <c r="U162" s="4">
        <v>5.9055000000000009</v>
      </c>
      <c r="V162" s="4" t="s">
        <v>594</v>
      </c>
      <c r="W162" s="4">
        <v>61</v>
      </c>
      <c r="X162" s="7" t="s">
        <v>649</v>
      </c>
    </row>
    <row r="163" spans="1:24" ht="15" x14ac:dyDescent="0.25">
      <c r="A163" s="4" t="s">
        <v>330</v>
      </c>
      <c r="B163" s="4" t="s">
        <v>786</v>
      </c>
      <c r="C163" s="4" t="s">
        <v>639</v>
      </c>
      <c r="D163" s="4">
        <v>1.6</v>
      </c>
      <c r="E163" s="4">
        <v>0</v>
      </c>
      <c r="F163" s="4">
        <v>0</v>
      </c>
      <c r="G163" s="4">
        <v>13.950000000000001</v>
      </c>
      <c r="H163" s="4">
        <v>8.71875</v>
      </c>
      <c r="I163" s="4">
        <v>52.7</v>
      </c>
      <c r="J163" s="4">
        <v>32.9375</v>
      </c>
      <c r="K163" s="4">
        <v>44.95</v>
      </c>
      <c r="L163" s="4">
        <v>28.09375</v>
      </c>
      <c r="M163" s="4">
        <v>32.550000000000004</v>
      </c>
      <c r="N163" s="4">
        <v>20.34375</v>
      </c>
      <c r="O163" s="4">
        <v>13.950000000000001</v>
      </c>
      <c r="P163" s="4">
        <v>16.740000000000002</v>
      </c>
      <c r="Q163" s="4">
        <v>13.950000000000001</v>
      </c>
      <c r="R163" s="4">
        <v>17.7165</v>
      </c>
      <c r="S163" s="4">
        <v>17.7165</v>
      </c>
      <c r="T163" s="4">
        <v>17.7165</v>
      </c>
      <c r="U163" s="4">
        <v>17.7165</v>
      </c>
      <c r="V163" s="4" t="s">
        <v>639</v>
      </c>
      <c r="W163" s="4">
        <v>60</v>
      </c>
      <c r="X163" s="7" t="s">
        <v>649</v>
      </c>
    </row>
    <row r="164" spans="1:24" ht="15" x14ac:dyDescent="0.25">
      <c r="A164" s="4" t="s">
        <v>332</v>
      </c>
      <c r="B164" s="4" t="s">
        <v>865</v>
      </c>
      <c r="C164" s="4" t="s">
        <v>640</v>
      </c>
      <c r="D164" s="4">
        <v>4</v>
      </c>
      <c r="E164" s="4">
        <v>0</v>
      </c>
      <c r="F164" s="4">
        <v>0</v>
      </c>
      <c r="G164" s="4">
        <v>34.1</v>
      </c>
      <c r="H164" s="4">
        <v>8.5250000000000004</v>
      </c>
      <c r="I164" s="4">
        <v>46.5</v>
      </c>
      <c r="J164" s="4">
        <v>11.625</v>
      </c>
      <c r="K164" s="4">
        <v>34.1</v>
      </c>
      <c r="L164" s="4">
        <v>8.5250000000000004</v>
      </c>
      <c r="M164" s="4">
        <v>32.550000000000004</v>
      </c>
      <c r="N164" s="4">
        <v>8.1375000000000011</v>
      </c>
      <c r="O164" s="4">
        <v>34.1</v>
      </c>
      <c r="P164" s="4">
        <v>40.92</v>
      </c>
      <c r="Q164" s="4">
        <v>34.1</v>
      </c>
      <c r="R164" s="4">
        <v>43.307000000000002</v>
      </c>
      <c r="S164" s="4">
        <v>43.307000000000002</v>
      </c>
      <c r="T164" s="4">
        <v>43.307000000000002</v>
      </c>
      <c r="U164" s="4">
        <v>43.307000000000002</v>
      </c>
      <c r="V164" s="4" t="s">
        <v>640</v>
      </c>
      <c r="W164" s="4">
        <v>58</v>
      </c>
      <c r="X164" s="7" t="s">
        <v>649</v>
      </c>
    </row>
    <row r="165" spans="1:24" ht="15" x14ac:dyDescent="0.25">
      <c r="A165" s="4" t="s">
        <v>367</v>
      </c>
      <c r="B165" s="4" t="s">
        <v>932</v>
      </c>
      <c r="C165" s="4" t="s">
        <v>639</v>
      </c>
      <c r="D165" s="4">
        <v>12.9</v>
      </c>
      <c r="E165" s="4">
        <v>20</v>
      </c>
      <c r="F165" s="4">
        <v>1.5503875968992247</v>
      </c>
      <c r="G165" s="4">
        <v>91.45</v>
      </c>
      <c r="H165" s="4">
        <v>7.0891472868217056</v>
      </c>
      <c r="I165" s="4">
        <v>48.050000000000004</v>
      </c>
      <c r="J165" s="4">
        <v>3.724806201550388</v>
      </c>
      <c r="K165" s="4">
        <v>57.35</v>
      </c>
      <c r="L165" s="4">
        <v>4.445736434108527</v>
      </c>
      <c r="M165" s="4">
        <v>29.45</v>
      </c>
      <c r="N165" s="4">
        <v>2.2829457364341086</v>
      </c>
      <c r="O165" s="4">
        <v>105.1675</v>
      </c>
      <c r="P165" s="4">
        <v>86.877499999999998</v>
      </c>
      <c r="Q165" s="4">
        <v>91.45</v>
      </c>
      <c r="R165" s="4">
        <v>116.14150000000001</v>
      </c>
      <c r="S165" s="4">
        <v>116.14150000000001</v>
      </c>
      <c r="T165" s="4">
        <v>116.14150000000001</v>
      </c>
      <c r="U165" s="4">
        <v>116.14150000000001</v>
      </c>
      <c r="V165" s="4" t="s">
        <v>639</v>
      </c>
      <c r="W165" s="4">
        <v>22</v>
      </c>
      <c r="X165" s="7" t="s">
        <v>649</v>
      </c>
    </row>
    <row r="166" spans="1:24" ht="15" x14ac:dyDescent="0.25">
      <c r="A166" s="4" t="s">
        <v>368</v>
      </c>
      <c r="B166" s="4" t="s">
        <v>911</v>
      </c>
      <c r="C166" s="4" t="s">
        <v>938</v>
      </c>
      <c r="D166" s="4">
        <v>7.6</v>
      </c>
      <c r="E166" s="4">
        <v>12</v>
      </c>
      <c r="F166" s="4">
        <v>1.5789473684210527</v>
      </c>
      <c r="G166" s="4">
        <v>54.25</v>
      </c>
      <c r="H166" s="4">
        <v>7.1381578947368425</v>
      </c>
      <c r="I166" s="4">
        <v>29.45</v>
      </c>
      <c r="J166" s="4">
        <v>3.875</v>
      </c>
      <c r="K166" s="4">
        <v>32.550000000000004</v>
      </c>
      <c r="L166" s="4">
        <v>4.2828947368421062</v>
      </c>
      <c r="M166" s="4">
        <v>18.600000000000001</v>
      </c>
      <c r="N166" s="4">
        <v>2.4473684210526319</v>
      </c>
      <c r="O166" s="4">
        <v>62.387500000000003</v>
      </c>
      <c r="P166" s="4">
        <v>51.537500000000001</v>
      </c>
      <c r="Q166" s="4">
        <v>54.25</v>
      </c>
      <c r="R166" s="4">
        <v>68.897500000000008</v>
      </c>
      <c r="S166" s="4">
        <v>68.897500000000008</v>
      </c>
      <c r="T166" s="4">
        <v>68.897500000000008</v>
      </c>
      <c r="U166" s="4">
        <v>68.897500000000008</v>
      </c>
      <c r="V166" s="4" t="s">
        <v>938</v>
      </c>
      <c r="W166" s="4">
        <v>21</v>
      </c>
      <c r="X166" s="7" t="s">
        <v>649</v>
      </c>
    </row>
    <row r="167" spans="1:24" ht="15" x14ac:dyDescent="0.25">
      <c r="A167" s="4" t="s">
        <v>366</v>
      </c>
      <c r="B167" s="4" t="s">
        <v>864</v>
      </c>
      <c r="C167" s="4" t="s">
        <v>594</v>
      </c>
      <c r="D167" s="4">
        <v>5</v>
      </c>
      <c r="E167" s="4">
        <v>8</v>
      </c>
      <c r="F167" s="4">
        <v>1.6</v>
      </c>
      <c r="G167" s="4">
        <v>34.1</v>
      </c>
      <c r="H167" s="4">
        <v>6.82</v>
      </c>
      <c r="I167" s="4">
        <v>18.600000000000001</v>
      </c>
      <c r="J167" s="4">
        <v>3.72</v>
      </c>
      <c r="K167" s="4">
        <v>20.150000000000002</v>
      </c>
      <c r="L167" s="4">
        <v>4.03</v>
      </c>
      <c r="M167" s="4">
        <v>10.85</v>
      </c>
      <c r="N167" s="4">
        <v>2.17</v>
      </c>
      <c r="O167" s="4">
        <v>39.215000000000003</v>
      </c>
      <c r="P167" s="4">
        <v>32.395000000000003</v>
      </c>
      <c r="Q167" s="4">
        <v>34.1</v>
      </c>
      <c r="R167" s="4">
        <v>43.307000000000002</v>
      </c>
      <c r="S167" s="4">
        <v>43.307000000000002</v>
      </c>
      <c r="T167" s="4">
        <v>43.307000000000002</v>
      </c>
      <c r="U167" s="4">
        <v>43.307000000000002</v>
      </c>
      <c r="V167" s="4" t="s">
        <v>594</v>
      </c>
      <c r="W167" s="4">
        <v>23</v>
      </c>
      <c r="X167" s="7" t="s">
        <v>649</v>
      </c>
    </row>
    <row r="168" spans="1:24" ht="15" x14ac:dyDescent="0.25">
      <c r="A168" s="4" t="s">
        <v>369</v>
      </c>
      <c r="B168" s="4" t="s">
        <v>910</v>
      </c>
      <c r="C168" s="4" t="s">
        <v>640</v>
      </c>
      <c r="D168" s="4">
        <v>7.6</v>
      </c>
      <c r="E168" s="4">
        <v>12</v>
      </c>
      <c r="F168" s="4">
        <v>1.5789473684210527</v>
      </c>
      <c r="G168" s="4">
        <v>54.25</v>
      </c>
      <c r="H168" s="4">
        <v>7.1381578947368425</v>
      </c>
      <c r="I168" s="4">
        <v>29.45</v>
      </c>
      <c r="J168" s="4">
        <v>3.875</v>
      </c>
      <c r="K168" s="4">
        <v>32.550000000000004</v>
      </c>
      <c r="L168" s="4">
        <v>4.2828947368421062</v>
      </c>
      <c r="M168" s="4">
        <v>18.600000000000001</v>
      </c>
      <c r="N168" s="4">
        <v>2.4473684210526319</v>
      </c>
      <c r="O168" s="4">
        <v>62.387500000000003</v>
      </c>
      <c r="P168" s="4">
        <v>51.537500000000001</v>
      </c>
      <c r="Q168" s="4">
        <v>54.25</v>
      </c>
      <c r="R168" s="4">
        <v>68.897500000000008</v>
      </c>
      <c r="S168" s="4">
        <v>68.897500000000008</v>
      </c>
      <c r="T168" s="4">
        <v>68.897500000000008</v>
      </c>
      <c r="U168" s="4">
        <v>68.897500000000008</v>
      </c>
      <c r="V168" s="4" t="s">
        <v>640</v>
      </c>
      <c r="W168" s="4">
        <v>20</v>
      </c>
      <c r="X168" s="7" t="s">
        <v>649</v>
      </c>
    </row>
    <row r="169" spans="1:24" ht="15" x14ac:dyDescent="0.25">
      <c r="A169" s="4" t="s">
        <v>284</v>
      </c>
      <c r="B169" s="4" t="s">
        <v>777</v>
      </c>
      <c r="C169" s="4" t="s">
        <v>594</v>
      </c>
      <c r="D169" s="4">
        <v>1.2</v>
      </c>
      <c r="E169" s="4">
        <v>0</v>
      </c>
      <c r="F169" s="4">
        <v>0</v>
      </c>
      <c r="G169" s="4">
        <v>16.939999999999998</v>
      </c>
      <c r="H169" s="4">
        <v>14.116666666666665</v>
      </c>
      <c r="I169" s="4">
        <v>12.1</v>
      </c>
      <c r="J169" s="4">
        <v>10.083333333333334</v>
      </c>
      <c r="K169" s="4">
        <v>16.939999999999998</v>
      </c>
      <c r="L169" s="4">
        <v>14.116666666666665</v>
      </c>
      <c r="M169" s="4">
        <v>14.52</v>
      </c>
      <c r="N169" s="4">
        <v>12.1</v>
      </c>
      <c r="O169" s="4">
        <v>16.939999999999998</v>
      </c>
      <c r="P169" s="4">
        <v>17.956399999999999</v>
      </c>
      <c r="Q169" s="4">
        <v>16.939999999999998</v>
      </c>
      <c r="R169" s="4">
        <v>23.715999999999994</v>
      </c>
      <c r="S169" s="4">
        <v>23.715999999999994</v>
      </c>
      <c r="T169" s="4">
        <v>23.715999999999994</v>
      </c>
      <c r="U169" s="4">
        <v>23.715999999999994</v>
      </c>
      <c r="V169" s="4" t="s">
        <v>594</v>
      </c>
      <c r="W169" s="4">
        <v>135</v>
      </c>
      <c r="X169" s="7" t="s">
        <v>647</v>
      </c>
    </row>
    <row r="170" spans="1:24" ht="15" x14ac:dyDescent="0.25">
      <c r="A170" s="4" t="s">
        <v>359</v>
      </c>
      <c r="B170" s="4" t="s">
        <v>780</v>
      </c>
      <c r="C170" s="4" t="s">
        <v>594</v>
      </c>
      <c r="D170" s="4">
        <v>1.2</v>
      </c>
      <c r="E170" s="4">
        <v>0</v>
      </c>
      <c r="F170" s="4">
        <v>0</v>
      </c>
      <c r="G170" s="4">
        <v>19.36</v>
      </c>
      <c r="H170" s="4">
        <v>16.133333333333333</v>
      </c>
      <c r="I170" s="4">
        <v>21.78</v>
      </c>
      <c r="J170" s="4">
        <v>18.150000000000002</v>
      </c>
      <c r="K170" s="4">
        <v>12.1</v>
      </c>
      <c r="L170" s="4">
        <v>10.083333333333334</v>
      </c>
      <c r="M170" s="4">
        <v>16.939999999999998</v>
      </c>
      <c r="N170" s="4">
        <v>14.116666666666665</v>
      </c>
      <c r="O170" s="4">
        <v>19.36</v>
      </c>
      <c r="P170" s="4">
        <v>22.844799999999999</v>
      </c>
      <c r="Q170" s="4">
        <v>19.36</v>
      </c>
      <c r="R170" s="4">
        <v>27.103999999999999</v>
      </c>
      <c r="S170" s="4">
        <v>27.103999999999999</v>
      </c>
      <c r="T170" s="4">
        <v>27.103999999999999</v>
      </c>
      <c r="U170" s="4">
        <v>27.103999999999999</v>
      </c>
      <c r="V170" s="4" t="s">
        <v>594</v>
      </c>
      <c r="W170" s="4">
        <v>171</v>
      </c>
      <c r="X170" s="7" t="s">
        <v>647</v>
      </c>
    </row>
    <row r="171" spans="1:24" ht="15" x14ac:dyDescent="0.25">
      <c r="A171" s="4" t="s">
        <v>452</v>
      </c>
      <c r="B171" s="4" t="s">
        <v>452</v>
      </c>
      <c r="C171" s="4" t="s">
        <v>639</v>
      </c>
      <c r="D171" s="4">
        <v>10.1</v>
      </c>
      <c r="E171" s="4">
        <v>12</v>
      </c>
      <c r="F171" s="4">
        <v>1.1881188118811881</v>
      </c>
      <c r="G171" s="4">
        <v>53</v>
      </c>
      <c r="H171" s="4">
        <v>5.2475247524752477</v>
      </c>
      <c r="I171" s="4">
        <v>45</v>
      </c>
      <c r="J171" s="4">
        <v>4.4554455445544559</v>
      </c>
      <c r="K171" s="4">
        <v>45</v>
      </c>
      <c r="L171" s="4">
        <v>4.4554455445544559</v>
      </c>
      <c r="M171" s="4">
        <v>35</v>
      </c>
      <c r="N171" s="4">
        <v>3.4653465346534653</v>
      </c>
      <c r="O171" s="4">
        <v>60.42</v>
      </c>
      <c r="P171" s="4">
        <v>50.88</v>
      </c>
      <c r="Q171" s="4">
        <v>53</v>
      </c>
      <c r="R171" s="4">
        <v>53</v>
      </c>
      <c r="S171" s="4">
        <v>53</v>
      </c>
      <c r="T171" s="4">
        <v>53</v>
      </c>
      <c r="U171" s="4">
        <v>53</v>
      </c>
      <c r="V171" s="4" t="s">
        <v>639</v>
      </c>
      <c r="W171" s="4">
        <v>64</v>
      </c>
      <c r="X171" s="7" t="s">
        <v>935</v>
      </c>
    </row>
    <row r="172" spans="1:24" ht="15" x14ac:dyDescent="0.25">
      <c r="A172" s="4" t="s">
        <v>632</v>
      </c>
      <c r="B172" s="4" t="s">
        <v>632</v>
      </c>
      <c r="C172" s="4" t="s">
        <v>639</v>
      </c>
      <c r="D172" s="4">
        <v>6</v>
      </c>
      <c r="E172" s="4">
        <v>0</v>
      </c>
      <c r="F172" s="4">
        <v>0</v>
      </c>
      <c r="G172" s="4">
        <v>32</v>
      </c>
      <c r="H172" s="4">
        <v>5.333333333333333</v>
      </c>
      <c r="I172" s="4">
        <v>32</v>
      </c>
      <c r="J172" s="4">
        <v>5.333333333333333</v>
      </c>
      <c r="K172" s="4">
        <v>41</v>
      </c>
      <c r="L172" s="4">
        <v>6.833333333333333</v>
      </c>
      <c r="M172" s="4">
        <v>41</v>
      </c>
      <c r="N172" s="4">
        <v>6.833333333333333</v>
      </c>
      <c r="O172" s="4">
        <v>36.799999999999997</v>
      </c>
      <c r="P172" s="4">
        <v>34.56</v>
      </c>
      <c r="Q172" s="4">
        <v>29.44</v>
      </c>
      <c r="R172" s="4">
        <v>32</v>
      </c>
      <c r="S172" s="4">
        <v>32</v>
      </c>
      <c r="T172" s="4">
        <v>32</v>
      </c>
      <c r="U172" s="4">
        <v>32</v>
      </c>
      <c r="V172" s="4" t="s">
        <v>639</v>
      </c>
      <c r="W172" s="4">
        <v>38</v>
      </c>
      <c r="X172" s="7" t="s">
        <v>935</v>
      </c>
    </row>
    <row r="173" spans="1:24" ht="15" x14ac:dyDescent="0.25">
      <c r="A173" s="4" t="s">
        <v>555</v>
      </c>
      <c r="B173" s="4" t="s">
        <v>840</v>
      </c>
      <c r="C173" s="4" t="s">
        <v>594</v>
      </c>
      <c r="D173" s="4">
        <v>4.5</v>
      </c>
      <c r="E173" s="4">
        <v>8</v>
      </c>
      <c r="F173" s="4">
        <v>1.7777777777777777</v>
      </c>
      <c r="G173" s="4">
        <v>38.72</v>
      </c>
      <c r="H173" s="4">
        <v>8.6044444444444448</v>
      </c>
      <c r="I173" s="4">
        <v>24.2</v>
      </c>
      <c r="J173" s="4">
        <v>5.3777777777777773</v>
      </c>
      <c r="K173" s="4">
        <v>24.2</v>
      </c>
      <c r="L173" s="4">
        <v>5.3777777777777773</v>
      </c>
      <c r="M173" s="4">
        <v>14.52</v>
      </c>
      <c r="N173" s="4">
        <v>3.2266666666666666</v>
      </c>
      <c r="O173" s="4">
        <v>38.72</v>
      </c>
      <c r="P173" s="4">
        <v>33.686399999999999</v>
      </c>
      <c r="Q173" s="4">
        <v>38.72</v>
      </c>
      <c r="R173" s="4">
        <v>54.207999999999998</v>
      </c>
      <c r="S173" s="4">
        <v>54.207999999999998</v>
      </c>
      <c r="T173" s="4">
        <v>54.207999999999998</v>
      </c>
      <c r="U173" s="4">
        <v>54.207999999999998</v>
      </c>
      <c r="V173" s="4" t="s">
        <v>594</v>
      </c>
      <c r="W173" s="4">
        <v>4</v>
      </c>
      <c r="X173" s="7" t="s">
        <v>647</v>
      </c>
    </row>
    <row r="174" spans="1:24" ht="15" x14ac:dyDescent="0.25">
      <c r="A174" s="4" t="s">
        <v>543</v>
      </c>
      <c r="B174" s="4" t="s">
        <v>773</v>
      </c>
      <c r="C174" s="4" t="s">
        <v>594</v>
      </c>
      <c r="D174" s="4">
        <v>0.6</v>
      </c>
      <c r="E174" s="4">
        <v>0</v>
      </c>
      <c r="F174" s="4">
        <v>0</v>
      </c>
      <c r="G174" s="4">
        <v>14.52</v>
      </c>
      <c r="H174" s="4">
        <v>24.2</v>
      </c>
      <c r="I174" s="4">
        <v>14.52</v>
      </c>
      <c r="J174" s="4">
        <v>24.2</v>
      </c>
      <c r="K174" s="4">
        <v>19.36</v>
      </c>
      <c r="L174" s="4">
        <v>32.266666666666666</v>
      </c>
      <c r="M174" s="4">
        <v>9.68</v>
      </c>
      <c r="N174" s="4">
        <v>16.133333333333333</v>
      </c>
      <c r="O174" s="4">
        <v>14.52</v>
      </c>
      <c r="P174" s="4">
        <v>24.2484</v>
      </c>
      <c r="Q174" s="4">
        <v>12.051600000000001</v>
      </c>
      <c r="R174" s="4">
        <v>20.327999999999999</v>
      </c>
      <c r="S174" s="4">
        <v>20.327999999999999</v>
      </c>
      <c r="T174" s="4">
        <v>20.327999999999999</v>
      </c>
      <c r="U174" s="4">
        <v>20.327999999999999</v>
      </c>
      <c r="V174" s="4" t="s">
        <v>594</v>
      </c>
      <c r="W174" s="4">
        <v>3</v>
      </c>
      <c r="X174" s="7" t="s">
        <v>647</v>
      </c>
    </row>
    <row r="175" spans="1:24" ht="15" x14ac:dyDescent="0.25">
      <c r="A175" s="4" t="s">
        <v>455</v>
      </c>
      <c r="B175" s="4" t="s">
        <v>921</v>
      </c>
      <c r="C175" s="4" t="s">
        <v>639</v>
      </c>
      <c r="D175" s="4">
        <v>4</v>
      </c>
      <c r="E175" s="4">
        <v>0</v>
      </c>
      <c r="F175" s="4">
        <v>0</v>
      </c>
      <c r="G175" s="4">
        <v>63.550000000000004</v>
      </c>
      <c r="H175" s="4">
        <v>15.887500000000001</v>
      </c>
      <c r="I175" s="4">
        <v>43.4</v>
      </c>
      <c r="J175" s="4">
        <v>10.85</v>
      </c>
      <c r="K175" s="4">
        <v>44.95</v>
      </c>
      <c r="L175" s="4">
        <v>11.237500000000001</v>
      </c>
      <c r="M175" s="4">
        <v>54.25</v>
      </c>
      <c r="N175" s="4">
        <v>13.5625</v>
      </c>
      <c r="O175" s="4">
        <v>66.091999999999999</v>
      </c>
      <c r="P175" s="4">
        <v>68.634</v>
      </c>
      <c r="Q175" s="4">
        <v>63.550000000000004</v>
      </c>
      <c r="R175" s="4">
        <v>80.708500000000001</v>
      </c>
      <c r="S175" s="4">
        <v>80.708500000000001</v>
      </c>
      <c r="T175" s="4">
        <v>80.708500000000001</v>
      </c>
      <c r="U175" s="4">
        <v>80.708500000000001</v>
      </c>
      <c r="V175" s="4" t="s">
        <v>639</v>
      </c>
      <c r="W175" s="4">
        <v>133</v>
      </c>
      <c r="X175" s="7" t="s">
        <v>649</v>
      </c>
    </row>
    <row r="176" spans="1:24" ht="15" x14ac:dyDescent="0.25">
      <c r="A176" s="4" t="s">
        <v>372</v>
      </c>
      <c r="B176" s="4" t="s">
        <v>871</v>
      </c>
      <c r="C176" s="4" t="s">
        <v>639</v>
      </c>
      <c r="D176" s="4">
        <v>2.2999999999999901</v>
      </c>
      <c r="E176" s="4">
        <v>0</v>
      </c>
      <c r="F176" s="4">
        <v>0</v>
      </c>
      <c r="G176" s="4">
        <v>35.65</v>
      </c>
      <c r="H176" s="4">
        <v>15.500000000000066</v>
      </c>
      <c r="I176" s="4">
        <v>18.600000000000001</v>
      </c>
      <c r="J176" s="4">
        <v>8.0869565217391663</v>
      </c>
      <c r="K176" s="4">
        <v>24.8</v>
      </c>
      <c r="L176" s="4">
        <v>10.78260869565222</v>
      </c>
      <c r="M176" s="4">
        <v>26.35</v>
      </c>
      <c r="N176" s="4">
        <v>11.456521739130485</v>
      </c>
      <c r="O176" s="4">
        <v>35.65</v>
      </c>
      <c r="P176" s="4">
        <v>39.214999999999996</v>
      </c>
      <c r="Q176" s="4">
        <v>35.65</v>
      </c>
      <c r="R176" s="4">
        <v>45.275500000000001</v>
      </c>
      <c r="S176" s="4">
        <v>45.275500000000001</v>
      </c>
      <c r="T176" s="4">
        <v>45.275500000000001</v>
      </c>
      <c r="U176" s="4">
        <v>45.275500000000001</v>
      </c>
      <c r="V176" s="4" t="s">
        <v>639</v>
      </c>
      <c r="W176" s="4">
        <v>97</v>
      </c>
      <c r="X176" s="7" t="s">
        <v>649</v>
      </c>
    </row>
    <row r="177" spans="1:24" ht="15" x14ac:dyDescent="0.25">
      <c r="A177" s="4" t="s">
        <v>373</v>
      </c>
      <c r="B177" s="4" t="s">
        <v>813</v>
      </c>
      <c r="C177" s="4" t="s">
        <v>938</v>
      </c>
      <c r="D177" s="4">
        <v>1.4</v>
      </c>
      <c r="E177" s="4">
        <v>0</v>
      </c>
      <c r="F177" s="4">
        <v>0</v>
      </c>
      <c r="G177" s="4">
        <v>20.150000000000002</v>
      </c>
      <c r="H177" s="4">
        <v>14.392857142857146</v>
      </c>
      <c r="I177" s="4">
        <v>10.85</v>
      </c>
      <c r="J177" s="4">
        <v>7.75</v>
      </c>
      <c r="K177" s="4">
        <v>13.950000000000001</v>
      </c>
      <c r="L177" s="4">
        <v>9.9642857142857153</v>
      </c>
      <c r="M177" s="4">
        <v>15.5</v>
      </c>
      <c r="N177" s="4">
        <v>11.071428571428573</v>
      </c>
      <c r="O177" s="4">
        <v>20.150000000000002</v>
      </c>
      <c r="P177" s="4">
        <v>22.165000000000003</v>
      </c>
      <c r="Q177" s="4">
        <v>20.150000000000002</v>
      </c>
      <c r="R177" s="4">
        <v>25.590500000000002</v>
      </c>
      <c r="S177" s="4">
        <v>25.590500000000002</v>
      </c>
      <c r="T177" s="4">
        <v>25.590500000000002</v>
      </c>
      <c r="U177" s="4">
        <v>25.590500000000002</v>
      </c>
      <c r="V177" s="4" t="s">
        <v>938</v>
      </c>
      <c r="W177" s="4">
        <v>96</v>
      </c>
      <c r="X177" s="7" t="s">
        <v>649</v>
      </c>
    </row>
    <row r="178" spans="1:24" ht="15" x14ac:dyDescent="0.25">
      <c r="A178" s="4" t="s">
        <v>374</v>
      </c>
      <c r="B178" s="4" t="s">
        <v>812</v>
      </c>
      <c r="C178" s="4" t="s">
        <v>640</v>
      </c>
      <c r="D178" s="4">
        <v>1.4</v>
      </c>
      <c r="E178" s="4">
        <v>0</v>
      </c>
      <c r="F178" s="4">
        <v>0</v>
      </c>
      <c r="G178" s="4">
        <v>20.150000000000002</v>
      </c>
      <c r="H178" s="4">
        <v>14.392857142857146</v>
      </c>
      <c r="I178" s="4">
        <v>10.85</v>
      </c>
      <c r="J178" s="4">
        <v>7.75</v>
      </c>
      <c r="K178" s="4">
        <v>13.950000000000001</v>
      </c>
      <c r="L178" s="4">
        <v>9.9642857142857153</v>
      </c>
      <c r="M178" s="4">
        <v>15.5</v>
      </c>
      <c r="N178" s="4">
        <v>11.071428571428573</v>
      </c>
      <c r="O178" s="4">
        <v>20.150000000000002</v>
      </c>
      <c r="P178" s="4">
        <v>22.165000000000003</v>
      </c>
      <c r="Q178" s="4">
        <v>20.150000000000002</v>
      </c>
      <c r="R178" s="4">
        <v>25.590500000000002</v>
      </c>
      <c r="S178" s="4">
        <v>25.590500000000002</v>
      </c>
      <c r="T178" s="4">
        <v>25.590500000000002</v>
      </c>
      <c r="U178" s="4">
        <v>25.590500000000002</v>
      </c>
      <c r="V178" s="4" t="s">
        <v>640</v>
      </c>
      <c r="W178" s="4">
        <v>95</v>
      </c>
      <c r="X178" s="7" t="s">
        <v>649</v>
      </c>
    </row>
    <row r="179" spans="1:24" ht="15" x14ac:dyDescent="0.25">
      <c r="A179" s="4" t="s">
        <v>371</v>
      </c>
      <c r="B179" s="4" t="s">
        <v>787</v>
      </c>
      <c r="C179" s="4" t="s">
        <v>594</v>
      </c>
      <c r="D179" s="4">
        <v>0.9</v>
      </c>
      <c r="E179" s="4">
        <v>0</v>
      </c>
      <c r="F179" s="4">
        <v>0</v>
      </c>
      <c r="G179" s="4">
        <v>13.950000000000001</v>
      </c>
      <c r="H179" s="4">
        <v>15.5</v>
      </c>
      <c r="I179" s="4">
        <v>7.75</v>
      </c>
      <c r="J179" s="4">
        <v>8.6111111111111107</v>
      </c>
      <c r="K179" s="4">
        <v>9.3000000000000007</v>
      </c>
      <c r="L179" s="4">
        <v>10.333333333333334</v>
      </c>
      <c r="M179" s="4">
        <v>9.3000000000000007</v>
      </c>
      <c r="N179" s="4">
        <v>10.333333333333334</v>
      </c>
      <c r="O179" s="4">
        <v>13.950000000000001</v>
      </c>
      <c r="P179" s="4">
        <v>15.345000000000001</v>
      </c>
      <c r="Q179" s="4">
        <v>13.950000000000001</v>
      </c>
      <c r="R179" s="4">
        <v>17.7165</v>
      </c>
      <c r="S179" s="4">
        <v>17.7165</v>
      </c>
      <c r="T179" s="4">
        <v>17.7165</v>
      </c>
      <c r="U179" s="4">
        <v>17.7165</v>
      </c>
      <c r="V179" s="4" t="s">
        <v>594</v>
      </c>
      <c r="W179" s="4">
        <v>98</v>
      </c>
      <c r="X179" s="7" t="s">
        <v>649</v>
      </c>
    </row>
    <row r="180" spans="1:24" ht="15" x14ac:dyDescent="0.25">
      <c r="A180" s="4" t="s">
        <v>426</v>
      </c>
      <c r="B180" s="4" t="s">
        <v>929</v>
      </c>
      <c r="C180" s="4" t="s">
        <v>639</v>
      </c>
      <c r="D180" s="4">
        <v>12</v>
      </c>
      <c r="E180" s="4">
        <v>19</v>
      </c>
      <c r="F180" s="4">
        <v>1.5833333333333333</v>
      </c>
      <c r="G180" s="4">
        <v>80.600000000000009</v>
      </c>
      <c r="H180" s="4">
        <v>6.7166666666666677</v>
      </c>
      <c r="I180" s="4">
        <v>40.300000000000004</v>
      </c>
      <c r="J180" s="4">
        <v>3.3583333333333338</v>
      </c>
      <c r="K180" s="4">
        <v>44.95</v>
      </c>
      <c r="L180" s="4">
        <v>3.7458333333333336</v>
      </c>
      <c r="M180" s="4">
        <v>52.7</v>
      </c>
      <c r="N180" s="4">
        <v>4.3916666666666666</v>
      </c>
      <c r="O180" s="4">
        <v>92.690000000000012</v>
      </c>
      <c r="P180" s="4">
        <v>75.76400000000001</v>
      </c>
      <c r="Q180" s="4">
        <v>78.988000000000014</v>
      </c>
      <c r="R180" s="4">
        <v>102.36200000000001</v>
      </c>
      <c r="S180" s="4">
        <v>102.36200000000001</v>
      </c>
      <c r="T180" s="4">
        <v>102.36200000000001</v>
      </c>
      <c r="U180" s="4">
        <v>102.36200000000001</v>
      </c>
      <c r="V180" s="4" t="s">
        <v>639</v>
      </c>
      <c r="W180" s="4">
        <v>76</v>
      </c>
      <c r="X180" s="7" t="s">
        <v>649</v>
      </c>
    </row>
    <row r="181" spans="1:24" ht="15" x14ac:dyDescent="0.25">
      <c r="A181" s="4" t="s">
        <v>427</v>
      </c>
      <c r="B181" s="4" t="s">
        <v>885</v>
      </c>
      <c r="C181" s="4" t="s">
        <v>938</v>
      </c>
      <c r="D181" s="4">
        <v>5.5</v>
      </c>
      <c r="E181" s="4">
        <v>9</v>
      </c>
      <c r="F181" s="4">
        <v>1.6363636363636365</v>
      </c>
      <c r="G181" s="4">
        <v>38.75</v>
      </c>
      <c r="H181" s="4">
        <v>7.0454545454545459</v>
      </c>
      <c r="I181" s="4">
        <v>18.600000000000001</v>
      </c>
      <c r="J181" s="4">
        <v>3.3818181818181823</v>
      </c>
      <c r="K181" s="4">
        <v>21.7</v>
      </c>
      <c r="L181" s="4">
        <v>3.9454545454545453</v>
      </c>
      <c r="M181" s="4">
        <v>24.8</v>
      </c>
      <c r="N181" s="4">
        <v>4.5090909090909088</v>
      </c>
      <c r="O181" s="4">
        <v>44.5625</v>
      </c>
      <c r="P181" s="4">
        <v>36.424999999999997</v>
      </c>
      <c r="Q181" s="4">
        <v>37.975000000000001</v>
      </c>
      <c r="R181" s="4">
        <v>49.212499999999999</v>
      </c>
      <c r="S181" s="4">
        <v>49.212499999999999</v>
      </c>
      <c r="T181" s="4">
        <v>49.212499999999999</v>
      </c>
      <c r="U181" s="4">
        <v>49.212499999999999</v>
      </c>
      <c r="V181" s="4" t="s">
        <v>938</v>
      </c>
      <c r="W181" s="4">
        <v>75</v>
      </c>
      <c r="X181" s="7" t="s">
        <v>649</v>
      </c>
    </row>
    <row r="182" spans="1:24" ht="15" x14ac:dyDescent="0.25">
      <c r="A182" s="4" t="s">
        <v>425</v>
      </c>
      <c r="B182" s="4" t="s">
        <v>860</v>
      </c>
      <c r="C182" s="4" t="s">
        <v>594</v>
      </c>
      <c r="D182" s="4">
        <v>4.8</v>
      </c>
      <c r="E182" s="4">
        <v>8</v>
      </c>
      <c r="F182" s="4">
        <v>1.6666666666666667</v>
      </c>
      <c r="G182" s="4">
        <v>32.550000000000004</v>
      </c>
      <c r="H182" s="4">
        <v>6.7812500000000009</v>
      </c>
      <c r="I182" s="4">
        <v>15.5</v>
      </c>
      <c r="J182" s="4">
        <v>3.229166666666667</v>
      </c>
      <c r="K182" s="4">
        <v>17.05</v>
      </c>
      <c r="L182" s="4">
        <v>3.5520833333333335</v>
      </c>
      <c r="M182" s="4">
        <v>21.7</v>
      </c>
      <c r="N182" s="4">
        <v>4.520833333333333</v>
      </c>
      <c r="O182" s="4">
        <v>37.432500000000005</v>
      </c>
      <c r="P182" s="4">
        <v>30.597000000000005</v>
      </c>
      <c r="Q182" s="4">
        <v>31.899000000000004</v>
      </c>
      <c r="R182" s="4">
        <v>41.338500000000003</v>
      </c>
      <c r="S182" s="4">
        <v>41.338500000000003</v>
      </c>
      <c r="T182" s="4">
        <v>41.338500000000003</v>
      </c>
      <c r="U182" s="4">
        <v>41.338500000000003</v>
      </c>
      <c r="V182" s="4" t="s">
        <v>594</v>
      </c>
      <c r="W182" s="4">
        <v>77</v>
      </c>
      <c r="X182" s="7" t="s">
        <v>649</v>
      </c>
    </row>
    <row r="183" spans="1:24" ht="15" x14ac:dyDescent="0.25">
      <c r="A183" s="4" t="s">
        <v>428</v>
      </c>
      <c r="B183" s="4" t="s">
        <v>900</v>
      </c>
      <c r="C183" s="4" t="s">
        <v>640</v>
      </c>
      <c r="D183" s="4">
        <v>6.5</v>
      </c>
      <c r="E183" s="4">
        <v>11</v>
      </c>
      <c r="F183" s="4">
        <v>1.6923076923076923</v>
      </c>
      <c r="G183" s="4">
        <v>43.4</v>
      </c>
      <c r="H183" s="4">
        <v>6.6769230769230763</v>
      </c>
      <c r="I183" s="4">
        <v>23.25</v>
      </c>
      <c r="J183" s="4">
        <v>3.5769230769230771</v>
      </c>
      <c r="K183" s="4">
        <v>24.8</v>
      </c>
      <c r="L183" s="4">
        <v>3.8153846153846156</v>
      </c>
      <c r="M183" s="4">
        <v>29.45</v>
      </c>
      <c r="N183" s="4">
        <v>4.5307692307692307</v>
      </c>
      <c r="O183" s="4">
        <v>49.91</v>
      </c>
      <c r="P183" s="4">
        <v>40.795999999999999</v>
      </c>
      <c r="Q183" s="4">
        <v>42.531999999999996</v>
      </c>
      <c r="R183" s="4">
        <v>55.118000000000002</v>
      </c>
      <c r="S183" s="4">
        <v>55.118000000000002</v>
      </c>
      <c r="T183" s="4">
        <v>55.118000000000002</v>
      </c>
      <c r="U183" s="4">
        <v>55.118000000000002</v>
      </c>
      <c r="V183" s="4" t="s">
        <v>640</v>
      </c>
      <c r="W183" s="4">
        <v>74</v>
      </c>
      <c r="X183" s="7" t="s">
        <v>649</v>
      </c>
    </row>
    <row r="184" spans="1:24" ht="15" x14ac:dyDescent="0.25">
      <c r="A184" s="4" t="s">
        <v>451</v>
      </c>
      <c r="B184" s="4" t="s">
        <v>451</v>
      </c>
      <c r="C184" s="4" t="s">
        <v>594</v>
      </c>
      <c r="D184" s="4">
        <v>3.9</v>
      </c>
      <c r="E184" s="4">
        <v>5</v>
      </c>
      <c r="F184" s="4">
        <v>1.2820512820512822</v>
      </c>
      <c r="G184" s="4">
        <v>20</v>
      </c>
      <c r="H184" s="4">
        <v>5.1282051282051286</v>
      </c>
      <c r="I184" s="4">
        <v>18</v>
      </c>
      <c r="J184" s="4">
        <v>4.6153846153846159</v>
      </c>
      <c r="K184" s="4">
        <v>17</v>
      </c>
      <c r="L184" s="4">
        <v>4.3589743589743595</v>
      </c>
      <c r="M184" s="4">
        <v>13</v>
      </c>
      <c r="N184" s="4">
        <v>3.3333333333333335</v>
      </c>
      <c r="O184" s="4">
        <v>22.8</v>
      </c>
      <c r="P184" s="4">
        <v>19.2</v>
      </c>
      <c r="Q184" s="4">
        <v>20</v>
      </c>
      <c r="R184" s="4">
        <v>20</v>
      </c>
      <c r="S184" s="4">
        <v>20</v>
      </c>
      <c r="T184" s="4">
        <v>20</v>
      </c>
      <c r="U184" s="4">
        <v>20</v>
      </c>
      <c r="V184" s="4" t="s">
        <v>594</v>
      </c>
      <c r="W184" s="4">
        <v>65</v>
      </c>
      <c r="X184" s="7" t="s">
        <v>935</v>
      </c>
    </row>
    <row r="185" spans="1:24" ht="15" x14ac:dyDescent="0.25">
      <c r="A185" s="4" t="s">
        <v>600</v>
      </c>
      <c r="B185" s="4" t="s">
        <v>600</v>
      </c>
      <c r="C185" s="4" t="s">
        <v>639</v>
      </c>
      <c r="D185" s="4">
        <v>17.600000000000001</v>
      </c>
      <c r="E185" s="4">
        <v>35</v>
      </c>
      <c r="F185" s="4">
        <v>1.9886363636363635</v>
      </c>
      <c r="G185" s="4">
        <v>106</v>
      </c>
      <c r="H185" s="4">
        <v>6.0227272727272725</v>
      </c>
      <c r="I185" s="4">
        <v>52</v>
      </c>
      <c r="J185" s="4">
        <v>2.9545454545454541</v>
      </c>
      <c r="K185" s="4">
        <v>66</v>
      </c>
      <c r="L185" s="4">
        <v>3.7499999999999996</v>
      </c>
      <c r="M185" s="4">
        <v>59</v>
      </c>
      <c r="N185" s="4">
        <v>3.3522727272727271</v>
      </c>
      <c r="O185" s="4">
        <v>121.9</v>
      </c>
      <c r="P185" s="4">
        <v>92.22</v>
      </c>
      <c r="Q185" s="4">
        <v>106</v>
      </c>
      <c r="R185" s="4">
        <v>106</v>
      </c>
      <c r="S185" s="4">
        <v>106</v>
      </c>
      <c r="T185" s="4">
        <v>106</v>
      </c>
      <c r="U185" s="4">
        <v>106</v>
      </c>
      <c r="V185" s="4" t="s">
        <v>639</v>
      </c>
      <c r="W185" s="4">
        <v>50</v>
      </c>
      <c r="X185" s="7" t="s">
        <v>935</v>
      </c>
    </row>
    <row r="186" spans="1:24" ht="15" x14ac:dyDescent="0.25">
      <c r="A186" s="4" t="s">
        <v>601</v>
      </c>
      <c r="B186" s="4" t="s">
        <v>601</v>
      </c>
      <c r="C186" s="4" t="s">
        <v>938</v>
      </c>
      <c r="D186" s="4">
        <v>10.4</v>
      </c>
      <c r="E186" s="4">
        <v>21</v>
      </c>
      <c r="F186" s="4">
        <v>2.0192307692307692</v>
      </c>
      <c r="G186" s="4">
        <v>61</v>
      </c>
      <c r="H186" s="4">
        <v>5.865384615384615</v>
      </c>
      <c r="I186" s="4">
        <v>31</v>
      </c>
      <c r="J186" s="4">
        <v>2.9807692307692308</v>
      </c>
      <c r="K186" s="4">
        <v>40</v>
      </c>
      <c r="L186" s="4">
        <v>3.8461538461538458</v>
      </c>
      <c r="M186" s="4">
        <v>33</v>
      </c>
      <c r="N186" s="4">
        <v>3.1730769230769229</v>
      </c>
      <c r="O186" s="4">
        <v>70.150000000000006</v>
      </c>
      <c r="P186" s="4">
        <v>53.07</v>
      </c>
      <c r="Q186" s="4">
        <v>61</v>
      </c>
      <c r="R186" s="4">
        <v>61</v>
      </c>
      <c r="S186" s="4">
        <v>61</v>
      </c>
      <c r="T186" s="4">
        <v>61</v>
      </c>
      <c r="U186" s="4">
        <v>61</v>
      </c>
      <c r="V186" s="4" t="s">
        <v>938</v>
      </c>
      <c r="W186" s="4">
        <v>49</v>
      </c>
      <c r="X186" s="7" t="s">
        <v>935</v>
      </c>
    </row>
    <row r="187" spans="1:24" ht="15" x14ac:dyDescent="0.25">
      <c r="A187" s="4" t="s">
        <v>599</v>
      </c>
      <c r="B187" s="4" t="s">
        <v>599</v>
      </c>
      <c r="C187" s="4" t="s">
        <v>594</v>
      </c>
      <c r="D187" s="4">
        <v>6.8</v>
      </c>
      <c r="E187" s="4">
        <v>14</v>
      </c>
      <c r="F187" s="4">
        <v>2.0588235294117649</v>
      </c>
      <c r="G187" s="4">
        <v>40</v>
      </c>
      <c r="H187" s="4">
        <v>5.882352941176471</v>
      </c>
      <c r="I187" s="4">
        <v>19</v>
      </c>
      <c r="J187" s="4">
        <v>2.7941176470588238</v>
      </c>
      <c r="K187" s="4">
        <v>26</v>
      </c>
      <c r="L187" s="4">
        <v>3.8235294117647061</v>
      </c>
      <c r="M187" s="4">
        <v>21</v>
      </c>
      <c r="N187" s="4">
        <v>3.0882352941176472</v>
      </c>
      <c r="O187" s="4">
        <v>46</v>
      </c>
      <c r="P187" s="4">
        <v>34.799999999999997</v>
      </c>
      <c r="Q187" s="4">
        <v>40</v>
      </c>
      <c r="R187" s="4">
        <v>40</v>
      </c>
      <c r="S187" s="4">
        <v>40</v>
      </c>
      <c r="T187" s="4">
        <v>40</v>
      </c>
      <c r="U187" s="4">
        <v>40</v>
      </c>
      <c r="V187" s="4" t="s">
        <v>594</v>
      </c>
      <c r="W187" s="4">
        <v>51</v>
      </c>
      <c r="X187" s="7" t="s">
        <v>935</v>
      </c>
    </row>
    <row r="188" spans="1:24" ht="15" x14ac:dyDescent="0.25">
      <c r="A188" s="4" t="s">
        <v>602</v>
      </c>
      <c r="B188" s="4" t="s">
        <v>602</v>
      </c>
      <c r="C188" s="4" t="s">
        <v>640</v>
      </c>
      <c r="D188" s="4">
        <v>10.4</v>
      </c>
      <c r="E188" s="4">
        <v>21</v>
      </c>
      <c r="F188" s="4">
        <v>2.0192307692307692</v>
      </c>
      <c r="G188" s="4">
        <v>61</v>
      </c>
      <c r="H188" s="4">
        <v>5.865384615384615</v>
      </c>
      <c r="I188" s="4">
        <v>31</v>
      </c>
      <c r="J188" s="4">
        <v>2.9807692307692308</v>
      </c>
      <c r="K188" s="4">
        <v>40</v>
      </c>
      <c r="L188" s="4">
        <v>3.8461538461538458</v>
      </c>
      <c r="M188" s="4">
        <v>33</v>
      </c>
      <c r="N188" s="4">
        <v>3.1730769230769229</v>
      </c>
      <c r="O188" s="4">
        <v>70.150000000000006</v>
      </c>
      <c r="P188" s="4">
        <v>53.07</v>
      </c>
      <c r="Q188" s="4">
        <v>61</v>
      </c>
      <c r="R188" s="4">
        <v>61</v>
      </c>
      <c r="S188" s="4">
        <v>61</v>
      </c>
      <c r="T188" s="4">
        <v>61</v>
      </c>
      <c r="U188" s="4">
        <v>61</v>
      </c>
      <c r="V188" s="4" t="s">
        <v>640</v>
      </c>
      <c r="W188" s="4">
        <v>48</v>
      </c>
      <c r="X188" s="7" t="s">
        <v>935</v>
      </c>
    </row>
    <row r="189" spans="1:24" ht="15" x14ac:dyDescent="0.25">
      <c r="A189" s="4" t="s">
        <v>311</v>
      </c>
      <c r="B189" s="4" t="s">
        <v>807</v>
      </c>
      <c r="C189" s="4" t="s">
        <v>640</v>
      </c>
      <c r="D189" s="4">
        <v>1.4</v>
      </c>
      <c r="E189" s="4">
        <v>0</v>
      </c>
      <c r="F189" s="4">
        <v>0</v>
      </c>
      <c r="G189" s="4">
        <v>29.04</v>
      </c>
      <c r="H189" s="4">
        <v>20.742857142857144</v>
      </c>
      <c r="I189" s="4">
        <v>38.72</v>
      </c>
      <c r="J189" s="4">
        <v>27.657142857142858</v>
      </c>
      <c r="K189" s="4">
        <v>19.36</v>
      </c>
      <c r="L189" s="4">
        <v>13.828571428571429</v>
      </c>
      <c r="M189" s="4">
        <v>24.2</v>
      </c>
      <c r="N189" s="4">
        <v>17.285714285714285</v>
      </c>
      <c r="O189" s="4">
        <v>30.201599999999999</v>
      </c>
      <c r="P189" s="4">
        <v>31.363199999999999</v>
      </c>
      <c r="Q189" s="4">
        <v>29.04</v>
      </c>
      <c r="R189" s="4">
        <v>40.655999999999999</v>
      </c>
      <c r="S189" s="4">
        <v>40.655999999999999</v>
      </c>
      <c r="T189" s="4">
        <v>40.655999999999999</v>
      </c>
      <c r="U189" s="4">
        <v>40.655999999999999</v>
      </c>
      <c r="V189" s="4" t="s">
        <v>640</v>
      </c>
      <c r="W189" s="4">
        <v>184</v>
      </c>
      <c r="X189" s="7" t="s">
        <v>647</v>
      </c>
    </row>
    <row r="190" spans="1:24" ht="15" x14ac:dyDescent="0.25">
      <c r="A190" s="4" t="s">
        <v>309</v>
      </c>
      <c r="B190" s="4" t="s">
        <v>857</v>
      </c>
      <c r="C190" s="4" t="s">
        <v>639</v>
      </c>
      <c r="D190" s="4">
        <v>2.2999999999999901</v>
      </c>
      <c r="E190" s="4">
        <v>0</v>
      </c>
      <c r="F190" s="4">
        <v>0</v>
      </c>
      <c r="G190" s="4">
        <v>48.4</v>
      </c>
      <c r="H190" s="4">
        <v>21.043478260869655</v>
      </c>
      <c r="I190" s="4">
        <v>65.34</v>
      </c>
      <c r="J190" s="4">
        <v>28.408695652174039</v>
      </c>
      <c r="K190" s="4">
        <v>31.46</v>
      </c>
      <c r="L190" s="4">
        <v>13.678260869565277</v>
      </c>
      <c r="M190" s="4">
        <v>41.14</v>
      </c>
      <c r="N190" s="4">
        <v>17.886956521739208</v>
      </c>
      <c r="O190" s="4">
        <v>50.335999999999999</v>
      </c>
      <c r="P190" s="4">
        <v>52.271999999999998</v>
      </c>
      <c r="Q190" s="4">
        <v>48.4</v>
      </c>
      <c r="R190" s="4">
        <v>67.759999999999991</v>
      </c>
      <c r="S190" s="4">
        <v>67.759999999999991</v>
      </c>
      <c r="T190" s="4">
        <v>67.759999999999991</v>
      </c>
      <c r="U190" s="4">
        <v>67.759999999999991</v>
      </c>
      <c r="V190" s="4" t="s">
        <v>639</v>
      </c>
      <c r="W190" s="4">
        <v>186</v>
      </c>
      <c r="X190" s="7" t="s">
        <v>647</v>
      </c>
    </row>
    <row r="191" spans="1:24" ht="15" x14ac:dyDescent="0.25">
      <c r="A191" s="4" t="s">
        <v>310</v>
      </c>
      <c r="B191" s="4" t="s">
        <v>808</v>
      </c>
      <c r="C191" s="4" t="s">
        <v>938</v>
      </c>
      <c r="D191" s="4">
        <v>1.4</v>
      </c>
      <c r="E191" s="4">
        <v>0</v>
      </c>
      <c r="F191" s="4">
        <v>0</v>
      </c>
      <c r="G191" s="4">
        <v>29.04</v>
      </c>
      <c r="H191" s="4">
        <v>20.742857142857144</v>
      </c>
      <c r="I191" s="4">
        <v>38.72</v>
      </c>
      <c r="J191" s="4">
        <v>27.657142857142858</v>
      </c>
      <c r="K191" s="4">
        <v>19.36</v>
      </c>
      <c r="L191" s="4">
        <v>13.828571428571429</v>
      </c>
      <c r="M191" s="4">
        <v>24.2</v>
      </c>
      <c r="N191" s="4">
        <v>17.285714285714285</v>
      </c>
      <c r="O191" s="4">
        <v>30.201599999999999</v>
      </c>
      <c r="P191" s="4">
        <v>31.363199999999999</v>
      </c>
      <c r="Q191" s="4">
        <v>29.04</v>
      </c>
      <c r="R191" s="4">
        <v>40.655999999999999</v>
      </c>
      <c r="S191" s="4">
        <v>40.655999999999999</v>
      </c>
      <c r="T191" s="4">
        <v>40.655999999999999</v>
      </c>
      <c r="U191" s="4">
        <v>40.655999999999999</v>
      </c>
      <c r="V191" s="4" t="s">
        <v>938</v>
      </c>
      <c r="W191" s="4">
        <v>185</v>
      </c>
      <c r="X191" s="7" t="s">
        <v>647</v>
      </c>
    </row>
    <row r="192" spans="1:24" ht="15" x14ac:dyDescent="0.25">
      <c r="A192" s="4" t="s">
        <v>308</v>
      </c>
      <c r="B192" s="4" t="s">
        <v>785</v>
      </c>
      <c r="C192" s="4" t="s">
        <v>594</v>
      </c>
      <c r="D192" s="4">
        <v>0.9</v>
      </c>
      <c r="E192" s="4">
        <v>0</v>
      </c>
      <c r="F192" s="4">
        <v>0</v>
      </c>
      <c r="G192" s="4">
        <v>19.36</v>
      </c>
      <c r="H192" s="4">
        <v>21.511111111111109</v>
      </c>
      <c r="I192" s="4">
        <v>24.2</v>
      </c>
      <c r="J192" s="4">
        <v>26.888888888888886</v>
      </c>
      <c r="K192" s="4">
        <v>12.1</v>
      </c>
      <c r="L192" s="4">
        <v>13.444444444444443</v>
      </c>
      <c r="M192" s="4">
        <v>14.52</v>
      </c>
      <c r="N192" s="4">
        <v>16.133333333333333</v>
      </c>
      <c r="O192" s="4">
        <v>20.134399999999999</v>
      </c>
      <c r="P192" s="4">
        <v>20.908799999999999</v>
      </c>
      <c r="Q192" s="4">
        <v>19.36</v>
      </c>
      <c r="R192" s="4">
        <v>27.103999999999999</v>
      </c>
      <c r="S192" s="4">
        <v>27.103999999999999</v>
      </c>
      <c r="T192" s="4">
        <v>27.103999999999999</v>
      </c>
      <c r="U192" s="4">
        <v>27.103999999999999</v>
      </c>
      <c r="V192" s="4" t="s">
        <v>594</v>
      </c>
      <c r="W192" s="4">
        <v>187</v>
      </c>
      <c r="X192" s="7" t="s">
        <v>647</v>
      </c>
    </row>
    <row r="193" spans="1:24" ht="15" x14ac:dyDescent="0.25">
      <c r="A193" s="4" t="s">
        <v>294</v>
      </c>
      <c r="B193" s="4" t="s">
        <v>827</v>
      </c>
      <c r="C193" s="4" t="s">
        <v>594</v>
      </c>
      <c r="D193" s="4">
        <v>3.5</v>
      </c>
      <c r="E193" s="4">
        <v>5</v>
      </c>
      <c r="F193" s="4">
        <v>1.4285714285714286</v>
      </c>
      <c r="G193" s="4">
        <v>33.879999999999995</v>
      </c>
      <c r="H193" s="4">
        <v>9.6799999999999979</v>
      </c>
      <c r="I193" s="4">
        <v>19.36</v>
      </c>
      <c r="J193" s="4">
        <v>5.5314285714285711</v>
      </c>
      <c r="K193" s="4">
        <v>19.36</v>
      </c>
      <c r="L193" s="4">
        <v>5.5314285714285711</v>
      </c>
      <c r="M193" s="4">
        <v>7.26</v>
      </c>
      <c r="N193" s="4">
        <v>2.0742857142857143</v>
      </c>
      <c r="O193" s="4">
        <v>38.623199999999997</v>
      </c>
      <c r="P193" s="4">
        <v>19.311599999999999</v>
      </c>
      <c r="Q193" s="4">
        <v>33.879999999999995</v>
      </c>
      <c r="R193" s="4">
        <v>47.431999999999988</v>
      </c>
      <c r="S193" s="4">
        <v>47.431999999999988</v>
      </c>
      <c r="T193" s="4">
        <v>47.431999999999988</v>
      </c>
      <c r="U193" s="4">
        <v>47.431999999999988</v>
      </c>
      <c r="V193" s="4" t="s">
        <v>594</v>
      </c>
      <c r="W193" s="4">
        <v>218</v>
      </c>
      <c r="X193" s="7" t="s">
        <v>647</v>
      </c>
    </row>
    <row r="194" spans="1:24" ht="15" x14ac:dyDescent="0.25">
      <c r="A194" s="4" t="s">
        <v>539</v>
      </c>
      <c r="B194" s="4" t="s">
        <v>923</v>
      </c>
      <c r="C194" s="4" t="s">
        <v>639</v>
      </c>
      <c r="D194" s="4">
        <v>14</v>
      </c>
      <c r="E194" s="4">
        <v>23</v>
      </c>
      <c r="F194" s="4">
        <v>1.6428571428571428</v>
      </c>
      <c r="G194" s="4">
        <v>101.64</v>
      </c>
      <c r="H194" s="4">
        <v>7.26</v>
      </c>
      <c r="I194" s="4">
        <v>53.239999999999995</v>
      </c>
      <c r="J194" s="4">
        <v>3.8028571428571425</v>
      </c>
      <c r="K194" s="4">
        <v>50.82</v>
      </c>
      <c r="L194" s="4">
        <v>3.63</v>
      </c>
      <c r="M194" s="4">
        <v>31.46</v>
      </c>
      <c r="N194" s="4">
        <v>2.2471428571428573</v>
      </c>
      <c r="O194" s="4">
        <v>116.886</v>
      </c>
      <c r="P194" s="4">
        <v>95.541600000000003</v>
      </c>
      <c r="Q194" s="4">
        <v>101.64</v>
      </c>
      <c r="R194" s="4">
        <v>142.29599999999999</v>
      </c>
      <c r="S194" s="4">
        <v>142.29599999999999</v>
      </c>
      <c r="T194" s="4">
        <v>142.29599999999999</v>
      </c>
      <c r="U194" s="4">
        <v>142.29599999999999</v>
      </c>
      <c r="V194" s="4" t="s">
        <v>639</v>
      </c>
      <c r="W194" s="4">
        <v>83</v>
      </c>
      <c r="X194" s="7" t="s">
        <v>647</v>
      </c>
    </row>
    <row r="195" spans="1:24" ht="15" x14ac:dyDescent="0.25">
      <c r="A195" s="4" t="s">
        <v>540</v>
      </c>
      <c r="B195" s="4" t="s">
        <v>887</v>
      </c>
      <c r="C195" s="4" t="s">
        <v>938</v>
      </c>
      <c r="D195" s="4">
        <v>8.3000000000000007</v>
      </c>
      <c r="E195" s="4">
        <v>14</v>
      </c>
      <c r="F195" s="4">
        <v>1.6867469879518071</v>
      </c>
      <c r="G195" s="4">
        <v>60.5</v>
      </c>
      <c r="H195" s="4">
        <v>7.2891566265060233</v>
      </c>
      <c r="I195" s="4">
        <v>31.46</v>
      </c>
      <c r="J195" s="4">
        <v>3.7903614457831325</v>
      </c>
      <c r="K195" s="4">
        <v>29.04</v>
      </c>
      <c r="L195" s="4">
        <v>3.4987951807228912</v>
      </c>
      <c r="M195" s="4">
        <v>19.36</v>
      </c>
      <c r="N195" s="4">
        <v>2.3325301204819273</v>
      </c>
      <c r="O195" s="4">
        <v>69.575000000000003</v>
      </c>
      <c r="P195" s="4">
        <v>56.87</v>
      </c>
      <c r="Q195" s="4">
        <v>60.5</v>
      </c>
      <c r="R195" s="4">
        <v>84.699999999999989</v>
      </c>
      <c r="S195" s="4">
        <v>84.699999999999989</v>
      </c>
      <c r="T195" s="4">
        <v>84.699999999999989</v>
      </c>
      <c r="U195" s="4">
        <v>84.699999999999989</v>
      </c>
      <c r="V195" s="4" t="s">
        <v>938</v>
      </c>
      <c r="W195" s="4">
        <v>82</v>
      </c>
      <c r="X195" s="7" t="s">
        <v>647</v>
      </c>
    </row>
    <row r="196" spans="1:24" ht="15" x14ac:dyDescent="0.25">
      <c r="A196" s="4" t="s">
        <v>538</v>
      </c>
      <c r="B196" s="4" t="s">
        <v>841</v>
      </c>
      <c r="C196" s="4" t="s">
        <v>594</v>
      </c>
      <c r="D196" s="4">
        <v>5.4</v>
      </c>
      <c r="E196" s="4">
        <v>9</v>
      </c>
      <c r="F196" s="4">
        <v>1.6666666666666665</v>
      </c>
      <c r="G196" s="4">
        <v>38.72</v>
      </c>
      <c r="H196" s="4">
        <v>7.1703703703703701</v>
      </c>
      <c r="I196" s="4">
        <v>19.36</v>
      </c>
      <c r="J196" s="4">
        <v>3.585185185185185</v>
      </c>
      <c r="K196" s="4">
        <v>19.36</v>
      </c>
      <c r="L196" s="4">
        <v>3.585185185185185</v>
      </c>
      <c r="M196" s="4">
        <v>12.1</v>
      </c>
      <c r="N196" s="4">
        <v>2.2407407407407405</v>
      </c>
      <c r="O196" s="4">
        <v>44.527999999999999</v>
      </c>
      <c r="P196" s="4">
        <v>36.396799999999999</v>
      </c>
      <c r="Q196" s="4">
        <v>38.72</v>
      </c>
      <c r="R196" s="4">
        <v>54.207999999999998</v>
      </c>
      <c r="S196" s="4">
        <v>54.207999999999998</v>
      </c>
      <c r="T196" s="4">
        <v>54.207999999999998</v>
      </c>
      <c r="U196" s="4">
        <v>54.207999999999998</v>
      </c>
      <c r="V196" s="4" t="s">
        <v>594</v>
      </c>
      <c r="W196" s="4">
        <v>84</v>
      </c>
      <c r="X196" s="7" t="s">
        <v>647</v>
      </c>
    </row>
    <row r="197" spans="1:24" ht="15" x14ac:dyDescent="0.25">
      <c r="A197" s="4" t="s">
        <v>541</v>
      </c>
      <c r="B197" s="4" t="s">
        <v>886</v>
      </c>
      <c r="C197" s="4" t="s">
        <v>640</v>
      </c>
      <c r="D197" s="4">
        <v>8.3000000000000007</v>
      </c>
      <c r="E197" s="4">
        <v>14</v>
      </c>
      <c r="F197" s="4">
        <v>1.6867469879518071</v>
      </c>
      <c r="G197" s="4">
        <v>60.5</v>
      </c>
      <c r="H197" s="4">
        <v>7.2891566265060233</v>
      </c>
      <c r="I197" s="4">
        <v>31.46</v>
      </c>
      <c r="J197" s="4">
        <v>3.7903614457831325</v>
      </c>
      <c r="K197" s="4">
        <v>29.04</v>
      </c>
      <c r="L197" s="4">
        <v>3.4987951807228912</v>
      </c>
      <c r="M197" s="4">
        <v>19.36</v>
      </c>
      <c r="N197" s="4">
        <v>2.3325301204819273</v>
      </c>
      <c r="O197" s="4">
        <v>69.575000000000003</v>
      </c>
      <c r="P197" s="4">
        <v>56.87</v>
      </c>
      <c r="Q197" s="4">
        <v>60.5</v>
      </c>
      <c r="R197" s="4">
        <v>84.699999999999989</v>
      </c>
      <c r="S197" s="4">
        <v>84.699999999999989</v>
      </c>
      <c r="T197" s="4">
        <v>84.699999999999989</v>
      </c>
      <c r="U197" s="4">
        <v>84.699999999999989</v>
      </c>
      <c r="V197" s="4" t="s">
        <v>640</v>
      </c>
      <c r="W197" s="4">
        <v>81</v>
      </c>
      <c r="X197" s="7" t="s">
        <v>647</v>
      </c>
    </row>
    <row r="198" spans="1:24" ht="15" x14ac:dyDescent="0.25">
      <c r="A198" s="4" t="s">
        <v>350</v>
      </c>
      <c r="B198" s="4" t="s">
        <v>350</v>
      </c>
      <c r="C198" s="4" t="s">
        <v>639</v>
      </c>
      <c r="D198" s="4">
        <v>17.600000000000001</v>
      </c>
      <c r="E198" s="4">
        <v>39</v>
      </c>
      <c r="F198" s="4">
        <v>2.2159090909090908</v>
      </c>
      <c r="G198" s="4">
        <v>91</v>
      </c>
      <c r="H198" s="4">
        <v>5.170454545454545</v>
      </c>
      <c r="I198" s="4">
        <v>45</v>
      </c>
      <c r="J198" s="4">
        <v>2.5568181818181817</v>
      </c>
      <c r="K198" s="4">
        <v>54</v>
      </c>
      <c r="L198" s="4">
        <v>3.0681818181818179</v>
      </c>
      <c r="M198" s="4">
        <v>54</v>
      </c>
      <c r="N198" s="4">
        <v>3.0681818181818179</v>
      </c>
      <c r="O198" s="4">
        <v>104.65</v>
      </c>
      <c r="P198" s="4">
        <v>85.54</v>
      </c>
      <c r="Q198" s="4">
        <v>91</v>
      </c>
      <c r="R198" s="4">
        <v>91</v>
      </c>
      <c r="S198" s="4">
        <v>91</v>
      </c>
      <c r="T198" s="4">
        <v>91</v>
      </c>
      <c r="U198" s="4">
        <v>91</v>
      </c>
      <c r="V198" s="4" t="s">
        <v>639</v>
      </c>
      <c r="W198" s="4">
        <v>18</v>
      </c>
      <c r="X198" s="7" t="s">
        <v>935</v>
      </c>
    </row>
    <row r="199" spans="1:24" ht="15" x14ac:dyDescent="0.25">
      <c r="A199" s="4" t="s">
        <v>351</v>
      </c>
      <c r="B199" s="4" t="s">
        <v>351</v>
      </c>
      <c r="C199" s="4" t="s">
        <v>938</v>
      </c>
      <c r="D199" s="4">
        <v>10.4</v>
      </c>
      <c r="E199" s="4">
        <v>23</v>
      </c>
      <c r="F199" s="4">
        <v>2.2115384615384617</v>
      </c>
      <c r="G199" s="4">
        <v>54</v>
      </c>
      <c r="H199" s="4">
        <v>5.1923076923076925</v>
      </c>
      <c r="I199" s="4">
        <v>27</v>
      </c>
      <c r="J199" s="4">
        <v>2.5961538461538463</v>
      </c>
      <c r="K199" s="4">
        <v>33</v>
      </c>
      <c r="L199" s="4">
        <v>3.1730769230769229</v>
      </c>
      <c r="M199" s="4">
        <v>33</v>
      </c>
      <c r="N199" s="4">
        <v>3.1730769230769229</v>
      </c>
      <c r="O199" s="4">
        <v>62.1</v>
      </c>
      <c r="P199" s="4">
        <v>50.76</v>
      </c>
      <c r="Q199" s="4">
        <v>54</v>
      </c>
      <c r="R199" s="4">
        <v>54</v>
      </c>
      <c r="S199" s="4">
        <v>54</v>
      </c>
      <c r="T199" s="4">
        <v>54</v>
      </c>
      <c r="U199" s="4">
        <v>54</v>
      </c>
      <c r="V199" s="4" t="s">
        <v>938</v>
      </c>
      <c r="W199" s="4">
        <v>17</v>
      </c>
      <c r="X199" s="7" t="s">
        <v>935</v>
      </c>
    </row>
    <row r="200" spans="1:24" ht="15" x14ac:dyDescent="0.25">
      <c r="A200" s="4" t="s">
        <v>288</v>
      </c>
      <c r="B200" s="4" t="s">
        <v>288</v>
      </c>
      <c r="C200" s="4" t="s">
        <v>594</v>
      </c>
      <c r="D200" s="4">
        <v>6.8</v>
      </c>
      <c r="E200" s="4">
        <v>15</v>
      </c>
      <c r="F200" s="4">
        <v>2.2058823529411766</v>
      </c>
      <c r="G200" s="4">
        <v>35</v>
      </c>
      <c r="H200" s="4">
        <v>5.1470588235294121</v>
      </c>
      <c r="I200" s="4">
        <v>17</v>
      </c>
      <c r="J200" s="4">
        <v>2.5</v>
      </c>
      <c r="K200" s="4">
        <v>21</v>
      </c>
      <c r="L200" s="4">
        <v>3.0882352941176472</v>
      </c>
      <c r="M200" s="4">
        <v>21</v>
      </c>
      <c r="N200" s="4">
        <v>3.0882352941176472</v>
      </c>
      <c r="O200" s="4">
        <v>40.25</v>
      </c>
      <c r="P200" s="4">
        <v>32.9</v>
      </c>
      <c r="Q200" s="4">
        <v>35</v>
      </c>
      <c r="R200" s="4">
        <v>35</v>
      </c>
      <c r="S200" s="4">
        <v>35</v>
      </c>
      <c r="T200" s="4">
        <v>35</v>
      </c>
      <c r="U200" s="4">
        <v>35</v>
      </c>
      <c r="V200" s="4" t="s">
        <v>594</v>
      </c>
      <c r="W200" s="4">
        <v>19</v>
      </c>
      <c r="X200" s="7" t="s">
        <v>935</v>
      </c>
    </row>
    <row r="201" spans="1:24" ht="15" x14ac:dyDescent="0.25">
      <c r="A201" s="4" t="s">
        <v>352</v>
      </c>
      <c r="B201" s="4" t="s">
        <v>352</v>
      </c>
      <c r="C201" s="4" t="s">
        <v>640</v>
      </c>
      <c r="D201" s="4">
        <v>10.4</v>
      </c>
      <c r="E201" s="4">
        <v>23</v>
      </c>
      <c r="F201" s="4">
        <v>2.2115384615384617</v>
      </c>
      <c r="G201" s="4">
        <v>54</v>
      </c>
      <c r="H201" s="4">
        <v>5.1923076923076925</v>
      </c>
      <c r="I201" s="4">
        <v>27</v>
      </c>
      <c r="J201" s="4">
        <v>2.5961538461538463</v>
      </c>
      <c r="K201" s="4">
        <v>33</v>
      </c>
      <c r="L201" s="4">
        <v>3.1730769230769229</v>
      </c>
      <c r="M201" s="4">
        <v>33</v>
      </c>
      <c r="N201" s="4">
        <v>3.1730769230769229</v>
      </c>
      <c r="O201" s="4">
        <v>62.1</v>
      </c>
      <c r="P201" s="4">
        <v>50.76</v>
      </c>
      <c r="Q201" s="4">
        <v>54</v>
      </c>
      <c r="R201" s="4">
        <v>54</v>
      </c>
      <c r="S201" s="4">
        <v>54</v>
      </c>
      <c r="T201" s="4">
        <v>54</v>
      </c>
      <c r="U201" s="4">
        <v>54</v>
      </c>
      <c r="V201" s="4" t="s">
        <v>640</v>
      </c>
      <c r="W201" s="4">
        <v>16</v>
      </c>
      <c r="X201" s="7" t="s">
        <v>935</v>
      </c>
    </row>
    <row r="202" spans="1:24" ht="15" x14ac:dyDescent="0.25">
      <c r="A202" s="4" t="s">
        <v>561</v>
      </c>
      <c r="B202" s="4" t="s">
        <v>561</v>
      </c>
      <c r="C202" s="4" t="s">
        <v>594</v>
      </c>
      <c r="D202" s="4">
        <v>1.4</v>
      </c>
      <c r="E202" s="4">
        <v>0</v>
      </c>
      <c r="F202" s="4">
        <v>0</v>
      </c>
      <c r="G202" s="4">
        <v>6</v>
      </c>
      <c r="H202" s="4">
        <v>4.2857142857142856</v>
      </c>
      <c r="I202" s="4">
        <v>5</v>
      </c>
      <c r="J202" s="4">
        <v>3.5714285714285716</v>
      </c>
      <c r="K202" s="4">
        <v>24</v>
      </c>
      <c r="L202" s="4">
        <v>17.142857142857142</v>
      </c>
      <c r="M202" s="4">
        <v>13</v>
      </c>
      <c r="N202" s="4">
        <v>9.2857142857142865</v>
      </c>
      <c r="O202" s="4">
        <v>6</v>
      </c>
      <c r="P202" s="4">
        <v>6</v>
      </c>
      <c r="Q202" s="4">
        <v>6</v>
      </c>
      <c r="R202" s="4">
        <v>6</v>
      </c>
      <c r="S202" s="4">
        <v>6</v>
      </c>
      <c r="T202" s="4">
        <v>6</v>
      </c>
      <c r="U202" s="4">
        <v>6</v>
      </c>
      <c r="V202" s="4" t="s">
        <v>594</v>
      </c>
      <c r="W202" s="4">
        <v>2</v>
      </c>
      <c r="X202" s="7" t="s">
        <v>935</v>
      </c>
    </row>
    <row r="203" spans="1:24" ht="15" x14ac:dyDescent="0.25">
      <c r="A203" s="4" t="s">
        <v>545</v>
      </c>
      <c r="B203" s="4" t="s">
        <v>545</v>
      </c>
      <c r="C203" s="4" t="s">
        <v>594</v>
      </c>
      <c r="D203" s="4">
        <v>10</v>
      </c>
      <c r="E203" s="4">
        <v>15</v>
      </c>
      <c r="F203" s="4">
        <v>1.5</v>
      </c>
      <c r="G203" s="4">
        <v>21</v>
      </c>
      <c r="H203" s="4">
        <v>2.1</v>
      </c>
      <c r="I203" s="4">
        <v>8</v>
      </c>
      <c r="J203" s="4">
        <v>0.8</v>
      </c>
      <c r="K203" s="4">
        <v>2</v>
      </c>
      <c r="L203" s="4">
        <v>0.2</v>
      </c>
      <c r="M203" s="4">
        <v>2</v>
      </c>
      <c r="N203" s="4">
        <v>0.2</v>
      </c>
      <c r="O203" s="4">
        <v>21</v>
      </c>
      <c r="P203" s="4">
        <v>10.92</v>
      </c>
      <c r="Q203" s="4">
        <v>21</v>
      </c>
      <c r="R203" s="4">
        <v>21</v>
      </c>
      <c r="S203" s="4">
        <v>21</v>
      </c>
      <c r="T203" s="4">
        <v>21</v>
      </c>
      <c r="U203" s="4">
        <v>21</v>
      </c>
      <c r="V203" s="4" t="s">
        <v>594</v>
      </c>
      <c r="W203" s="4">
        <v>1</v>
      </c>
      <c r="X203" s="7" t="s">
        <v>935</v>
      </c>
    </row>
    <row r="204" spans="1:24" ht="15" x14ac:dyDescent="0.25">
      <c r="A204" s="4" t="s">
        <v>383</v>
      </c>
      <c r="B204" s="4" t="s">
        <v>781</v>
      </c>
      <c r="C204" s="4" t="s">
        <v>594</v>
      </c>
      <c r="D204" s="4">
        <v>1.1000000000000001</v>
      </c>
      <c r="E204" s="4">
        <v>0</v>
      </c>
      <c r="F204" s="4">
        <v>0</v>
      </c>
      <c r="G204" s="4">
        <v>19.36</v>
      </c>
      <c r="H204" s="4">
        <v>17.599999999999998</v>
      </c>
      <c r="I204" s="4">
        <v>21.78</v>
      </c>
      <c r="J204" s="4">
        <v>19.8</v>
      </c>
      <c r="K204" s="4">
        <v>29.04</v>
      </c>
      <c r="L204" s="4">
        <v>26.4</v>
      </c>
      <c r="M204" s="4">
        <v>14.52</v>
      </c>
      <c r="N204" s="4">
        <v>13.2</v>
      </c>
      <c r="O204" s="4">
        <v>19.36</v>
      </c>
      <c r="P204" s="4">
        <v>21.489599999999999</v>
      </c>
      <c r="Q204" s="4">
        <v>19.36</v>
      </c>
      <c r="R204" s="4">
        <v>27.103999999999999</v>
      </c>
      <c r="S204" s="4">
        <v>27.103999999999999</v>
      </c>
      <c r="T204" s="4">
        <v>27.103999999999999</v>
      </c>
      <c r="U204" s="4">
        <v>27.103999999999999</v>
      </c>
      <c r="V204" s="4" t="s">
        <v>594</v>
      </c>
      <c r="W204" s="4">
        <v>175</v>
      </c>
      <c r="X204" s="7" t="s">
        <v>647</v>
      </c>
    </row>
    <row r="205" spans="1:24" ht="15" x14ac:dyDescent="0.25">
      <c r="A205" s="4" t="s">
        <v>385</v>
      </c>
      <c r="B205" s="4" t="s">
        <v>804</v>
      </c>
      <c r="C205" s="4" t="s">
        <v>938</v>
      </c>
      <c r="D205" s="4">
        <v>1.6</v>
      </c>
      <c r="E205" s="4">
        <v>0</v>
      </c>
      <c r="F205" s="4">
        <v>0</v>
      </c>
      <c r="G205" s="4">
        <v>29.04</v>
      </c>
      <c r="H205" s="4">
        <v>18.149999999999999</v>
      </c>
      <c r="I205" s="4">
        <v>33.879999999999995</v>
      </c>
      <c r="J205" s="4">
        <v>21.174999999999997</v>
      </c>
      <c r="K205" s="4">
        <v>43.56</v>
      </c>
      <c r="L205" s="4">
        <v>27.225000000000001</v>
      </c>
      <c r="M205" s="4">
        <v>24.2</v>
      </c>
      <c r="N205" s="4">
        <v>15.124999999999998</v>
      </c>
      <c r="O205" s="4">
        <v>29.04</v>
      </c>
      <c r="P205" s="4">
        <v>32.234400000000001</v>
      </c>
      <c r="Q205" s="4">
        <v>29.04</v>
      </c>
      <c r="R205" s="4">
        <v>40.655999999999999</v>
      </c>
      <c r="S205" s="4">
        <v>40.655999999999999</v>
      </c>
      <c r="T205" s="4">
        <v>40.655999999999999</v>
      </c>
      <c r="U205" s="4">
        <v>40.655999999999999</v>
      </c>
      <c r="V205" s="4" t="s">
        <v>938</v>
      </c>
      <c r="W205" s="4">
        <v>173</v>
      </c>
      <c r="X205" s="7" t="s">
        <v>647</v>
      </c>
    </row>
    <row r="206" spans="1:24" ht="15" x14ac:dyDescent="0.25">
      <c r="A206" s="4" t="s">
        <v>384</v>
      </c>
      <c r="B206" s="4" t="s">
        <v>863</v>
      </c>
      <c r="C206" s="4" t="s">
        <v>639</v>
      </c>
      <c r="D206" s="4">
        <v>2.7</v>
      </c>
      <c r="E206" s="4">
        <v>0</v>
      </c>
      <c r="F206" s="4">
        <v>0</v>
      </c>
      <c r="G206" s="4">
        <v>50.82</v>
      </c>
      <c r="H206" s="4">
        <v>18.822222222222223</v>
      </c>
      <c r="I206" s="4">
        <v>55.66</v>
      </c>
      <c r="J206" s="4">
        <v>20.614814814814814</v>
      </c>
      <c r="K206" s="4">
        <v>72.599999999999994</v>
      </c>
      <c r="L206" s="4">
        <v>26.888888888888886</v>
      </c>
      <c r="M206" s="4">
        <v>41.14</v>
      </c>
      <c r="N206" s="4">
        <v>15.237037037037036</v>
      </c>
      <c r="O206" s="4">
        <v>50.82</v>
      </c>
      <c r="P206" s="4">
        <v>56.410200000000003</v>
      </c>
      <c r="Q206" s="4">
        <v>50.82</v>
      </c>
      <c r="R206" s="4">
        <v>71.147999999999996</v>
      </c>
      <c r="S206" s="4">
        <v>71.147999999999996</v>
      </c>
      <c r="T206" s="4">
        <v>71.147999999999996</v>
      </c>
      <c r="U206" s="4">
        <v>71.147999999999996</v>
      </c>
      <c r="V206" s="4" t="s">
        <v>639</v>
      </c>
      <c r="W206" s="4">
        <v>174</v>
      </c>
      <c r="X206" s="7" t="s">
        <v>647</v>
      </c>
    </row>
    <row r="207" spans="1:24" ht="15" x14ac:dyDescent="0.25">
      <c r="A207" s="4" t="s">
        <v>303</v>
      </c>
      <c r="B207" s="4" t="s">
        <v>791</v>
      </c>
      <c r="C207" s="4" t="s">
        <v>594</v>
      </c>
      <c r="D207" s="4">
        <v>1.2</v>
      </c>
      <c r="E207" s="4">
        <v>0</v>
      </c>
      <c r="F207" s="4">
        <v>0</v>
      </c>
      <c r="G207" s="4">
        <v>21.78</v>
      </c>
      <c r="H207" s="4">
        <v>18.150000000000002</v>
      </c>
      <c r="I207" s="4">
        <v>19.36</v>
      </c>
      <c r="J207" s="4">
        <v>16.133333333333333</v>
      </c>
      <c r="K207" s="4">
        <v>12.1</v>
      </c>
      <c r="L207" s="4">
        <v>10.083333333333334</v>
      </c>
      <c r="M207" s="4">
        <v>14.52</v>
      </c>
      <c r="N207" s="4">
        <v>12.1</v>
      </c>
      <c r="O207" s="4">
        <v>21.78</v>
      </c>
      <c r="P207" s="4">
        <v>23.304600000000001</v>
      </c>
      <c r="Q207" s="4">
        <v>21.78</v>
      </c>
      <c r="R207" s="4">
        <v>30.492000000000001</v>
      </c>
      <c r="S207" s="4">
        <v>30.492000000000001</v>
      </c>
      <c r="T207" s="4">
        <v>30.492000000000001</v>
      </c>
      <c r="U207" s="4">
        <v>30.492000000000001</v>
      </c>
      <c r="V207" s="4" t="s">
        <v>594</v>
      </c>
      <c r="W207" s="4">
        <v>198</v>
      </c>
      <c r="X207" s="7" t="s">
        <v>647</v>
      </c>
    </row>
    <row r="208" spans="1:24" ht="15" x14ac:dyDescent="0.25">
      <c r="A208" s="4" t="s">
        <v>456</v>
      </c>
      <c r="B208" s="4" t="s">
        <v>802</v>
      </c>
      <c r="C208" s="4" t="s">
        <v>640</v>
      </c>
      <c r="D208" s="4">
        <v>1.6</v>
      </c>
      <c r="E208" s="4">
        <v>0</v>
      </c>
      <c r="F208" s="4">
        <v>0</v>
      </c>
      <c r="G208" s="4">
        <v>29.04</v>
      </c>
      <c r="H208" s="4">
        <v>18.149999999999999</v>
      </c>
      <c r="I208" s="4">
        <v>38.72</v>
      </c>
      <c r="J208" s="4">
        <v>24.2</v>
      </c>
      <c r="K208" s="4">
        <v>19.36</v>
      </c>
      <c r="L208" s="4">
        <v>12.1</v>
      </c>
      <c r="M208" s="4">
        <v>24.2</v>
      </c>
      <c r="N208" s="4">
        <v>15.124999999999998</v>
      </c>
      <c r="O208" s="4">
        <v>30.201599999999999</v>
      </c>
      <c r="P208" s="4">
        <v>31.363199999999999</v>
      </c>
      <c r="Q208" s="4">
        <v>29.04</v>
      </c>
      <c r="R208" s="4">
        <v>40.655999999999999</v>
      </c>
      <c r="S208" s="4">
        <v>40.655999999999999</v>
      </c>
      <c r="T208" s="4">
        <v>40.655999999999999</v>
      </c>
      <c r="U208" s="4">
        <v>40.655999999999999</v>
      </c>
      <c r="V208" s="4" t="s">
        <v>640</v>
      </c>
      <c r="W208" s="4">
        <v>131</v>
      </c>
      <c r="X208" s="7" t="s">
        <v>647</v>
      </c>
    </row>
    <row r="209" spans="1:24" ht="15" x14ac:dyDescent="0.25">
      <c r="A209" s="4" t="s">
        <v>361</v>
      </c>
      <c r="B209" s="4" t="s">
        <v>769</v>
      </c>
      <c r="C209" s="4" t="s">
        <v>938</v>
      </c>
      <c r="D209" s="4">
        <v>1.6</v>
      </c>
      <c r="E209" s="4">
        <v>0</v>
      </c>
      <c r="F209" s="4">
        <v>0</v>
      </c>
      <c r="G209" s="4">
        <v>29.04</v>
      </c>
      <c r="H209" s="4">
        <v>18.149999999999999</v>
      </c>
      <c r="I209" s="4">
        <v>38.72</v>
      </c>
      <c r="J209" s="4">
        <v>24.2</v>
      </c>
      <c r="K209" s="4">
        <v>19.36</v>
      </c>
      <c r="L209" s="4">
        <v>12.1</v>
      </c>
      <c r="M209" s="4">
        <v>24.2</v>
      </c>
      <c r="N209" s="4">
        <v>15.124999999999998</v>
      </c>
      <c r="O209" s="4">
        <v>30.201599999999999</v>
      </c>
      <c r="P209" s="4">
        <v>31.363199999999999</v>
      </c>
      <c r="Q209" s="4">
        <v>29.04</v>
      </c>
      <c r="R209" s="4">
        <v>40.655999999999999</v>
      </c>
      <c r="S209" s="4">
        <v>40.655999999999999</v>
      </c>
      <c r="T209" s="4">
        <v>40.655999999999999</v>
      </c>
      <c r="U209" s="4">
        <v>40.655999999999999</v>
      </c>
      <c r="V209" s="4" t="s">
        <v>938</v>
      </c>
      <c r="W209" s="4">
        <v>132</v>
      </c>
      <c r="X209" s="7" t="s">
        <v>647</v>
      </c>
    </row>
    <row r="210" spans="1:24" ht="15" x14ac:dyDescent="0.25">
      <c r="A210" s="4" t="s">
        <v>361</v>
      </c>
      <c r="B210" s="4" t="s">
        <v>769</v>
      </c>
      <c r="C210" s="4" t="s">
        <v>938</v>
      </c>
      <c r="D210" s="4">
        <v>0.7</v>
      </c>
      <c r="E210" s="4">
        <v>0</v>
      </c>
      <c r="F210" s="4">
        <v>0</v>
      </c>
      <c r="G210" s="4">
        <v>12.1</v>
      </c>
      <c r="H210" s="4">
        <v>17.285714285714285</v>
      </c>
      <c r="I210" s="4">
        <v>12.1</v>
      </c>
      <c r="J210" s="4">
        <v>17.285714285714285</v>
      </c>
      <c r="K210" s="4">
        <v>7.26</v>
      </c>
      <c r="L210" s="4">
        <v>10.371428571428572</v>
      </c>
      <c r="M210" s="4">
        <v>9.68</v>
      </c>
      <c r="N210" s="4">
        <v>13.828571428571429</v>
      </c>
      <c r="O210" s="4">
        <v>12.1</v>
      </c>
      <c r="P210" s="4">
        <v>14.277999999999999</v>
      </c>
      <c r="Q210" s="4">
        <v>12.1</v>
      </c>
      <c r="R210" s="4">
        <v>16.939999999999998</v>
      </c>
      <c r="S210" s="4">
        <v>16.939999999999998</v>
      </c>
      <c r="T210" s="4">
        <v>16.939999999999998</v>
      </c>
      <c r="U210" s="4">
        <v>16.939999999999998</v>
      </c>
      <c r="V210" s="4" t="s">
        <v>938</v>
      </c>
      <c r="W210" s="4">
        <v>169</v>
      </c>
      <c r="X210" s="7" t="s">
        <v>647</v>
      </c>
    </row>
    <row r="211" spans="1:24" ht="15" x14ac:dyDescent="0.25">
      <c r="A211" s="4" t="s">
        <v>454</v>
      </c>
      <c r="B211" s="4" t="s">
        <v>454</v>
      </c>
      <c r="C211" s="4" t="s">
        <v>640</v>
      </c>
      <c r="D211" s="4">
        <v>6</v>
      </c>
      <c r="E211" s="4">
        <v>7</v>
      </c>
      <c r="F211" s="4">
        <v>1.1666666666666667</v>
      </c>
      <c r="G211" s="4">
        <v>32</v>
      </c>
      <c r="H211" s="4">
        <v>5.333333333333333</v>
      </c>
      <c r="I211" s="4">
        <v>27</v>
      </c>
      <c r="J211" s="4">
        <v>4.5</v>
      </c>
      <c r="K211" s="4">
        <v>27</v>
      </c>
      <c r="L211" s="4">
        <v>4.5</v>
      </c>
      <c r="M211" s="4">
        <v>20</v>
      </c>
      <c r="N211" s="4">
        <v>3.3333333333333335</v>
      </c>
      <c r="O211" s="4">
        <v>36.480000000000004</v>
      </c>
      <c r="P211" s="4">
        <v>30.72</v>
      </c>
      <c r="Q211" s="4">
        <v>32</v>
      </c>
      <c r="R211" s="4">
        <v>32</v>
      </c>
      <c r="S211" s="4">
        <v>32</v>
      </c>
      <c r="T211" s="4">
        <v>32</v>
      </c>
      <c r="U211" s="4">
        <v>32</v>
      </c>
      <c r="V211" s="4" t="s">
        <v>640</v>
      </c>
      <c r="W211" s="4">
        <v>62</v>
      </c>
      <c r="X211" s="7" t="s">
        <v>935</v>
      </c>
    </row>
    <row r="212" spans="1:24" ht="15" x14ac:dyDescent="0.25">
      <c r="A212" s="4" t="s">
        <v>390</v>
      </c>
      <c r="B212" s="4" t="s">
        <v>832</v>
      </c>
      <c r="C212" s="4" t="s">
        <v>640</v>
      </c>
      <c r="D212" s="4">
        <v>2.1</v>
      </c>
      <c r="E212" s="4">
        <v>0</v>
      </c>
      <c r="F212" s="4">
        <v>0</v>
      </c>
      <c r="G212" s="4">
        <v>33.879999999999995</v>
      </c>
      <c r="H212" s="4">
        <v>16.133333333333329</v>
      </c>
      <c r="I212" s="4">
        <v>29.04</v>
      </c>
      <c r="J212" s="4">
        <v>13.828571428571427</v>
      </c>
      <c r="K212" s="4">
        <v>36.299999999999997</v>
      </c>
      <c r="L212" s="4">
        <v>17.285714285714285</v>
      </c>
      <c r="M212" s="4">
        <v>31.46</v>
      </c>
      <c r="N212" s="4">
        <v>14.980952380952381</v>
      </c>
      <c r="O212" s="4">
        <v>36.251599999999996</v>
      </c>
      <c r="P212" s="4">
        <v>36.251599999999996</v>
      </c>
      <c r="Q212" s="4">
        <v>33.879999999999995</v>
      </c>
      <c r="R212" s="4">
        <v>47.431999999999988</v>
      </c>
      <c r="S212" s="4">
        <v>47.431999999999988</v>
      </c>
      <c r="T212" s="4">
        <v>47.431999999999988</v>
      </c>
      <c r="U212" s="4">
        <v>47.431999999999988</v>
      </c>
      <c r="V212" s="4" t="s">
        <v>640</v>
      </c>
      <c r="W212" s="4">
        <v>199</v>
      </c>
      <c r="X212" s="7" t="s">
        <v>647</v>
      </c>
    </row>
    <row r="213" spans="1:24" ht="15" x14ac:dyDescent="0.25">
      <c r="A213" s="4" t="s">
        <v>388</v>
      </c>
      <c r="B213" s="4" t="s">
        <v>877</v>
      </c>
      <c r="C213" s="4" t="s">
        <v>639</v>
      </c>
      <c r="D213" s="4">
        <v>3.5</v>
      </c>
      <c r="E213" s="4">
        <v>0</v>
      </c>
      <c r="F213" s="4">
        <v>0</v>
      </c>
      <c r="G213" s="4">
        <v>55.66</v>
      </c>
      <c r="H213" s="4">
        <v>15.902857142857142</v>
      </c>
      <c r="I213" s="4">
        <v>50.82</v>
      </c>
      <c r="J213" s="4">
        <v>14.52</v>
      </c>
      <c r="K213" s="4">
        <v>62.92</v>
      </c>
      <c r="L213" s="4">
        <v>17.977142857142859</v>
      </c>
      <c r="M213" s="4">
        <v>55.66</v>
      </c>
      <c r="N213" s="4">
        <v>15.902857142857142</v>
      </c>
      <c r="O213" s="4">
        <v>59.556199999999997</v>
      </c>
      <c r="P213" s="4">
        <v>59.556199999999997</v>
      </c>
      <c r="Q213" s="4">
        <v>55.66</v>
      </c>
      <c r="R213" s="4">
        <v>77.923999999999992</v>
      </c>
      <c r="S213" s="4">
        <v>77.923999999999992</v>
      </c>
      <c r="T213" s="4">
        <v>77.923999999999992</v>
      </c>
      <c r="U213" s="4">
        <v>77.923999999999992</v>
      </c>
      <c r="V213" s="4" t="s">
        <v>639</v>
      </c>
      <c r="W213" s="4">
        <v>201</v>
      </c>
      <c r="X213" s="7" t="s">
        <v>647</v>
      </c>
    </row>
    <row r="214" spans="1:24" ht="15" x14ac:dyDescent="0.25">
      <c r="A214" s="4" t="s">
        <v>387</v>
      </c>
      <c r="B214" s="4" t="s">
        <v>792</v>
      </c>
      <c r="C214" s="4" t="s">
        <v>594</v>
      </c>
      <c r="D214" s="4">
        <v>1.4</v>
      </c>
      <c r="E214" s="4">
        <v>0</v>
      </c>
      <c r="F214" s="4">
        <v>0</v>
      </c>
      <c r="G214" s="4">
        <v>21.78</v>
      </c>
      <c r="H214" s="4">
        <v>15.557142857142859</v>
      </c>
      <c r="I214" s="4">
        <v>19.36</v>
      </c>
      <c r="J214" s="4">
        <v>13.828571428571429</v>
      </c>
      <c r="K214" s="4">
        <v>24.2</v>
      </c>
      <c r="L214" s="4">
        <v>17.285714285714285</v>
      </c>
      <c r="M214" s="4">
        <v>21.78</v>
      </c>
      <c r="N214" s="4">
        <v>15.557142857142859</v>
      </c>
      <c r="O214" s="4">
        <v>23.304600000000001</v>
      </c>
      <c r="P214" s="4">
        <v>23.304600000000001</v>
      </c>
      <c r="Q214" s="4">
        <v>21.78</v>
      </c>
      <c r="R214" s="4">
        <v>30.492000000000001</v>
      </c>
      <c r="S214" s="4">
        <v>30.492000000000001</v>
      </c>
      <c r="T214" s="4">
        <v>30.492000000000001</v>
      </c>
      <c r="U214" s="4">
        <v>30.492000000000001</v>
      </c>
      <c r="V214" s="4" t="s">
        <v>594</v>
      </c>
      <c r="W214" s="4">
        <v>202</v>
      </c>
      <c r="X214" s="7" t="s">
        <v>647</v>
      </c>
    </row>
    <row r="215" spans="1:24" ht="15" x14ac:dyDescent="0.25">
      <c r="A215" s="4" t="s">
        <v>389</v>
      </c>
      <c r="B215" s="4" t="s">
        <v>833</v>
      </c>
      <c r="C215" s="4" t="s">
        <v>938</v>
      </c>
      <c r="D215" s="4">
        <v>2.1</v>
      </c>
      <c r="E215" s="4">
        <v>0</v>
      </c>
      <c r="F215" s="4">
        <v>0</v>
      </c>
      <c r="G215" s="4">
        <v>33.879999999999995</v>
      </c>
      <c r="H215" s="4">
        <v>16.133333333333329</v>
      </c>
      <c r="I215" s="4">
        <v>29.04</v>
      </c>
      <c r="J215" s="4">
        <v>13.828571428571427</v>
      </c>
      <c r="K215" s="4">
        <v>36.299999999999997</v>
      </c>
      <c r="L215" s="4">
        <v>17.285714285714285</v>
      </c>
      <c r="M215" s="4">
        <v>31.46</v>
      </c>
      <c r="N215" s="4">
        <v>14.980952380952381</v>
      </c>
      <c r="O215" s="4">
        <v>36.251599999999996</v>
      </c>
      <c r="P215" s="4">
        <v>36.251599999999996</v>
      </c>
      <c r="Q215" s="4">
        <v>33.879999999999995</v>
      </c>
      <c r="R215" s="4">
        <v>47.431999999999988</v>
      </c>
      <c r="S215" s="4">
        <v>47.431999999999988</v>
      </c>
      <c r="T215" s="4">
        <v>47.431999999999988</v>
      </c>
      <c r="U215" s="4">
        <v>47.431999999999988</v>
      </c>
      <c r="V215" s="4" t="s">
        <v>938</v>
      </c>
      <c r="W215" s="4">
        <v>200</v>
      </c>
      <c r="X215" s="7" t="s">
        <v>647</v>
      </c>
    </row>
    <row r="216" spans="1:24" ht="15" x14ac:dyDescent="0.25">
      <c r="A216" s="4" t="s">
        <v>442</v>
      </c>
      <c r="B216" s="4" t="s">
        <v>907</v>
      </c>
      <c r="C216" s="4" t="s">
        <v>639</v>
      </c>
      <c r="D216" s="4">
        <v>4</v>
      </c>
      <c r="E216" s="4">
        <v>0</v>
      </c>
      <c r="F216" s="4">
        <v>0</v>
      </c>
      <c r="G216" s="4">
        <v>51.15</v>
      </c>
      <c r="H216" s="4">
        <v>12.7875</v>
      </c>
      <c r="I216" s="4">
        <v>66.650000000000006</v>
      </c>
      <c r="J216" s="4">
        <v>16.662500000000001</v>
      </c>
      <c r="K216" s="4">
        <v>31</v>
      </c>
      <c r="L216" s="4">
        <v>7.75</v>
      </c>
      <c r="M216" s="4">
        <v>40.300000000000004</v>
      </c>
      <c r="N216" s="4">
        <v>10.075000000000001</v>
      </c>
      <c r="O216" s="4">
        <v>51.15</v>
      </c>
      <c r="P216" s="4">
        <v>56.776499999999999</v>
      </c>
      <c r="Q216" s="4">
        <v>51.15</v>
      </c>
      <c r="R216" s="4">
        <v>64.960499999999996</v>
      </c>
      <c r="S216" s="4">
        <v>64.960499999999996</v>
      </c>
      <c r="T216" s="4">
        <v>64.960499999999996</v>
      </c>
      <c r="U216" s="4">
        <v>64.960499999999996</v>
      </c>
      <c r="V216" s="4" t="s">
        <v>639</v>
      </c>
      <c r="W216" s="4">
        <v>121</v>
      </c>
      <c r="X216" s="7" t="s">
        <v>649</v>
      </c>
    </row>
    <row r="217" spans="1:24" ht="15" x14ac:dyDescent="0.25">
      <c r="A217" s="4" t="s">
        <v>443</v>
      </c>
      <c r="B217" s="4" t="s">
        <v>821</v>
      </c>
      <c r="C217" s="4" t="s">
        <v>938</v>
      </c>
      <c r="D217" s="4">
        <v>1.7</v>
      </c>
      <c r="E217" s="4">
        <v>0</v>
      </c>
      <c r="F217" s="4">
        <v>0</v>
      </c>
      <c r="G217" s="4">
        <v>21.7</v>
      </c>
      <c r="H217" s="4">
        <v>12.76470588235294</v>
      </c>
      <c r="I217" s="4">
        <v>27.900000000000002</v>
      </c>
      <c r="J217" s="4">
        <v>16.411764705882355</v>
      </c>
      <c r="K217" s="4">
        <v>13.950000000000001</v>
      </c>
      <c r="L217" s="4">
        <v>8.2058823529411775</v>
      </c>
      <c r="M217" s="4">
        <v>17.05</v>
      </c>
      <c r="N217" s="4">
        <v>10.029411764705882</v>
      </c>
      <c r="O217" s="4">
        <v>21.7</v>
      </c>
      <c r="P217" s="4">
        <v>24.087</v>
      </c>
      <c r="Q217" s="4">
        <v>21.7</v>
      </c>
      <c r="R217" s="4">
        <v>27.559000000000001</v>
      </c>
      <c r="S217" s="4">
        <v>27.559000000000001</v>
      </c>
      <c r="T217" s="4">
        <v>27.559000000000001</v>
      </c>
      <c r="U217" s="4">
        <v>27.559000000000001</v>
      </c>
      <c r="V217" s="4" t="s">
        <v>938</v>
      </c>
      <c r="W217" s="4">
        <v>120</v>
      </c>
      <c r="X217" s="7" t="s">
        <v>649</v>
      </c>
    </row>
    <row r="218" spans="1:24" ht="15" x14ac:dyDescent="0.25">
      <c r="A218" s="4" t="s">
        <v>441</v>
      </c>
      <c r="B218" s="4" t="s">
        <v>788</v>
      </c>
      <c r="C218" s="4" t="s">
        <v>594</v>
      </c>
      <c r="D218" s="4">
        <v>1.1000000000000001</v>
      </c>
      <c r="E218" s="4">
        <v>0</v>
      </c>
      <c r="F218" s="4">
        <v>0</v>
      </c>
      <c r="G218" s="4">
        <v>13.950000000000001</v>
      </c>
      <c r="H218" s="4">
        <v>12.681818181818182</v>
      </c>
      <c r="I218" s="4">
        <v>18.600000000000001</v>
      </c>
      <c r="J218" s="4">
        <v>16.90909090909091</v>
      </c>
      <c r="K218" s="4">
        <v>9.3000000000000007</v>
      </c>
      <c r="L218" s="4">
        <v>8.454545454545455</v>
      </c>
      <c r="M218" s="4">
        <v>10.85</v>
      </c>
      <c r="N218" s="4">
        <v>9.8636363636363633</v>
      </c>
      <c r="O218" s="4">
        <v>13.950000000000001</v>
      </c>
      <c r="P218" s="4">
        <v>15.484500000000001</v>
      </c>
      <c r="Q218" s="4">
        <v>13.950000000000001</v>
      </c>
      <c r="R218" s="4">
        <v>17.7165</v>
      </c>
      <c r="S218" s="4">
        <v>17.7165</v>
      </c>
      <c r="T218" s="4">
        <v>17.7165</v>
      </c>
      <c r="U218" s="4">
        <v>17.7165</v>
      </c>
      <c r="V218" s="4" t="s">
        <v>594</v>
      </c>
      <c r="W218" s="4">
        <v>126</v>
      </c>
      <c r="X218" s="7" t="s">
        <v>649</v>
      </c>
    </row>
    <row r="219" spans="1:24" ht="15" x14ac:dyDescent="0.25">
      <c r="A219" s="4" t="s">
        <v>444</v>
      </c>
      <c r="B219" s="4" t="s">
        <v>845</v>
      </c>
      <c r="C219" s="4" t="s">
        <v>640</v>
      </c>
      <c r="D219" s="4">
        <v>2.5</v>
      </c>
      <c r="E219" s="4">
        <v>0</v>
      </c>
      <c r="F219" s="4">
        <v>0</v>
      </c>
      <c r="G219" s="4">
        <v>26.35</v>
      </c>
      <c r="H219" s="4">
        <v>10.540000000000001</v>
      </c>
      <c r="I219" s="4">
        <v>41.85</v>
      </c>
      <c r="J219" s="4">
        <v>16.740000000000002</v>
      </c>
      <c r="K219" s="4">
        <v>18.600000000000001</v>
      </c>
      <c r="L219" s="4">
        <v>7.44</v>
      </c>
      <c r="M219" s="4">
        <v>26.35</v>
      </c>
      <c r="N219" s="4">
        <v>10.540000000000001</v>
      </c>
      <c r="O219" s="4">
        <v>26.35</v>
      </c>
      <c r="P219" s="4">
        <v>29.2485</v>
      </c>
      <c r="Q219" s="4">
        <v>26.35</v>
      </c>
      <c r="R219" s="4">
        <v>33.464500000000001</v>
      </c>
      <c r="S219" s="4">
        <v>33.464500000000001</v>
      </c>
      <c r="T219" s="4">
        <v>33.464500000000001</v>
      </c>
      <c r="U219" s="4">
        <v>33.464500000000001</v>
      </c>
      <c r="V219" s="4" t="s">
        <v>640</v>
      </c>
      <c r="W219" s="4">
        <v>119</v>
      </c>
      <c r="X219" s="7" t="s">
        <v>649</v>
      </c>
    </row>
    <row r="220" spans="1:24" ht="15" x14ac:dyDescent="0.25">
      <c r="A220" s="4" t="s">
        <v>323</v>
      </c>
      <c r="B220" s="4" t="s">
        <v>850</v>
      </c>
      <c r="C220" s="4" t="s">
        <v>594</v>
      </c>
      <c r="D220" s="4">
        <v>5</v>
      </c>
      <c r="E220" s="4">
        <v>0</v>
      </c>
      <c r="F220" s="4">
        <v>0</v>
      </c>
      <c r="G220" s="4">
        <v>27.900000000000002</v>
      </c>
      <c r="H220" s="4">
        <v>5.58</v>
      </c>
      <c r="I220" s="4">
        <v>23.25</v>
      </c>
      <c r="J220" s="4">
        <v>4.6500000000000004</v>
      </c>
      <c r="K220" s="4">
        <v>4.6500000000000004</v>
      </c>
      <c r="L220" s="4">
        <v>0.93</v>
      </c>
      <c r="M220" s="4">
        <v>12.4</v>
      </c>
      <c r="N220" s="4">
        <v>2.48</v>
      </c>
      <c r="O220" s="4">
        <v>27.900000000000002</v>
      </c>
      <c r="P220" s="4">
        <v>42.966000000000008</v>
      </c>
      <c r="Q220" s="4">
        <v>23.715000000000003</v>
      </c>
      <c r="R220" s="4">
        <v>35.433</v>
      </c>
      <c r="S220" s="4">
        <v>35.433</v>
      </c>
      <c r="T220" s="4">
        <v>35.433</v>
      </c>
      <c r="U220" s="4">
        <v>35.433</v>
      </c>
      <c r="V220" s="4" t="s">
        <v>594</v>
      </c>
      <c r="W220" s="4">
        <v>11</v>
      </c>
      <c r="X220" s="7" t="s">
        <v>649</v>
      </c>
    </row>
    <row r="221" spans="1:24" ht="15" x14ac:dyDescent="0.25">
      <c r="A221" s="4" t="s">
        <v>325</v>
      </c>
      <c r="B221" s="4" t="s">
        <v>849</v>
      </c>
      <c r="C221" s="4" t="s">
        <v>938</v>
      </c>
      <c r="D221" s="4">
        <v>2.2999999999999901</v>
      </c>
      <c r="E221" s="4">
        <v>0</v>
      </c>
      <c r="F221" s="4">
        <v>0</v>
      </c>
      <c r="G221" s="4">
        <v>27.900000000000002</v>
      </c>
      <c r="H221" s="4">
        <v>12.130434782608749</v>
      </c>
      <c r="I221" s="4">
        <v>34.1</v>
      </c>
      <c r="J221" s="4">
        <v>14.826086956521804</v>
      </c>
      <c r="K221" s="4">
        <v>6.2</v>
      </c>
      <c r="L221" s="4">
        <v>2.695652173913055</v>
      </c>
      <c r="M221" s="4">
        <v>21.7</v>
      </c>
      <c r="N221" s="4">
        <v>9.4347826086956932</v>
      </c>
      <c r="O221" s="4">
        <v>27.900000000000002</v>
      </c>
      <c r="P221" s="4">
        <v>31.248000000000001</v>
      </c>
      <c r="Q221" s="4">
        <v>25.389000000000003</v>
      </c>
      <c r="R221" s="4">
        <v>35.433</v>
      </c>
      <c r="S221" s="4">
        <v>35.433</v>
      </c>
      <c r="T221" s="4">
        <v>35.433</v>
      </c>
      <c r="U221" s="4">
        <v>35.433</v>
      </c>
      <c r="V221" s="4" t="s">
        <v>938</v>
      </c>
      <c r="W221" s="4">
        <v>9</v>
      </c>
      <c r="X221" s="7" t="s">
        <v>649</v>
      </c>
    </row>
    <row r="222" spans="1:24" ht="15" x14ac:dyDescent="0.25">
      <c r="A222" s="4" t="s">
        <v>324</v>
      </c>
      <c r="B222" s="4" t="s">
        <v>905</v>
      </c>
      <c r="C222" s="4" t="s">
        <v>639</v>
      </c>
      <c r="D222" s="4">
        <v>3.9</v>
      </c>
      <c r="E222" s="4">
        <v>0</v>
      </c>
      <c r="F222" s="4">
        <v>0</v>
      </c>
      <c r="G222" s="4">
        <v>49.6</v>
      </c>
      <c r="H222" s="4">
        <v>12.717948717948719</v>
      </c>
      <c r="I222" s="4">
        <v>57.35</v>
      </c>
      <c r="J222" s="4">
        <v>14.705128205128206</v>
      </c>
      <c r="K222" s="4">
        <v>10.85</v>
      </c>
      <c r="L222" s="4">
        <v>2.7820512820512819</v>
      </c>
      <c r="M222" s="4">
        <v>35.65</v>
      </c>
      <c r="N222" s="4">
        <v>9.1410256410256405</v>
      </c>
      <c r="O222" s="4">
        <v>49.6</v>
      </c>
      <c r="P222" s="4">
        <v>55.552</v>
      </c>
      <c r="Q222" s="4">
        <v>45.136000000000003</v>
      </c>
      <c r="R222" s="4">
        <v>62.992000000000004</v>
      </c>
      <c r="S222" s="4">
        <v>62.992000000000004</v>
      </c>
      <c r="T222" s="4">
        <v>62.992000000000004</v>
      </c>
      <c r="U222" s="4">
        <v>62.992000000000004</v>
      </c>
      <c r="V222" s="4" t="s">
        <v>639</v>
      </c>
      <c r="W222" s="4">
        <v>10</v>
      </c>
      <c r="X222" s="7" t="s">
        <v>649</v>
      </c>
    </row>
    <row r="223" spans="1:24" ht="15" x14ac:dyDescent="0.25">
      <c r="A223" s="4" t="s">
        <v>326</v>
      </c>
      <c r="B223" s="4" t="s">
        <v>904</v>
      </c>
      <c r="C223" s="4" t="s">
        <v>640</v>
      </c>
      <c r="D223" s="4">
        <v>4</v>
      </c>
      <c r="E223" s="4">
        <v>0</v>
      </c>
      <c r="F223" s="4">
        <v>0</v>
      </c>
      <c r="G223" s="4">
        <v>49.6</v>
      </c>
      <c r="H223" s="4">
        <v>12.4</v>
      </c>
      <c r="I223" s="4">
        <v>60.45</v>
      </c>
      <c r="J223" s="4">
        <v>15.112500000000001</v>
      </c>
      <c r="K223" s="4">
        <v>10.85</v>
      </c>
      <c r="L223" s="4">
        <v>2.7124999999999999</v>
      </c>
      <c r="M223" s="4">
        <v>35.65</v>
      </c>
      <c r="N223" s="4">
        <v>8.9124999999999996</v>
      </c>
      <c r="O223" s="4">
        <v>49.6</v>
      </c>
      <c r="P223" s="4">
        <v>55.552</v>
      </c>
      <c r="Q223" s="4">
        <v>45.136000000000003</v>
      </c>
      <c r="R223" s="4">
        <v>62.992000000000004</v>
      </c>
      <c r="S223" s="4">
        <v>62.992000000000004</v>
      </c>
      <c r="T223" s="4">
        <v>62.992000000000004</v>
      </c>
      <c r="U223" s="4">
        <v>62.992000000000004</v>
      </c>
      <c r="V223" s="4" t="s">
        <v>640</v>
      </c>
      <c r="W223" s="4">
        <v>8</v>
      </c>
      <c r="X223" s="7" t="s">
        <v>649</v>
      </c>
    </row>
  </sheetData>
  <autoFilter ref="A1:X223" xr:uid="{45FE5DAB-D41C-4344-B1E0-9A4952CF4402}"/>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32A65-1DD4-413A-A0BD-806B3B40E281}">
  <sheetPr codeName="Sheet10">
    <tabColor rgb="FFFFFF00"/>
  </sheetPr>
  <dimension ref="A1:AE43"/>
  <sheetViews>
    <sheetView workbookViewId="0">
      <selection activeCell="C34" sqref="C34"/>
    </sheetView>
  </sheetViews>
  <sheetFormatPr defaultColWidth="15.7109375" defaultRowHeight="12.75" x14ac:dyDescent="0.2"/>
  <cols>
    <col min="1" max="1" width="9.5703125" bestFit="1" customWidth="1"/>
    <col min="2" max="2" width="4" bestFit="1" customWidth="1"/>
    <col min="3" max="3" width="29.28515625" bestFit="1" customWidth="1"/>
    <col min="4" max="4" width="45" bestFit="1" customWidth="1"/>
    <col min="5" max="5" width="6.140625" bestFit="1" customWidth="1"/>
    <col min="6" max="6" width="14.5703125" bestFit="1" customWidth="1"/>
    <col min="7" max="7" width="11.28515625" bestFit="1" customWidth="1"/>
    <col min="8" max="8" width="11" bestFit="1" customWidth="1"/>
    <col min="9" max="9" width="10.28515625" bestFit="1" customWidth="1"/>
    <col min="10" max="10" width="9.85546875" bestFit="1" customWidth="1"/>
    <col min="11" max="11" width="6.7109375" bestFit="1" customWidth="1"/>
    <col min="12" max="12" width="6.28515625" bestFit="1" customWidth="1"/>
    <col min="13" max="13" width="13.7109375" bestFit="1" customWidth="1"/>
    <col min="14" max="14" width="6.42578125" bestFit="1" customWidth="1"/>
    <col min="15" max="15" width="7.140625" bestFit="1" customWidth="1"/>
    <col min="16" max="16" width="15" bestFit="1" customWidth="1"/>
    <col min="17" max="17" width="11.85546875" bestFit="1" customWidth="1"/>
    <col min="18" max="18" width="20" bestFit="1" customWidth="1"/>
    <col min="19" max="19" width="18.7109375" bestFit="1" customWidth="1"/>
    <col min="20" max="20" width="17.5703125" bestFit="1" customWidth="1"/>
    <col min="21" max="21" width="11.42578125" bestFit="1" customWidth="1"/>
    <col min="22" max="22" width="16.140625" bestFit="1" customWidth="1"/>
    <col min="23" max="23" width="14.7109375" bestFit="1" customWidth="1"/>
    <col min="24" max="24" width="29.85546875" bestFit="1" customWidth="1"/>
    <col min="25" max="25" width="28.42578125" bestFit="1" customWidth="1"/>
    <col min="26" max="26" width="16.7109375" bestFit="1" customWidth="1"/>
    <col min="27" max="27" width="21.5703125" bestFit="1" customWidth="1"/>
    <col min="28" max="28" width="21.85546875" bestFit="1" customWidth="1"/>
    <col min="29" max="29" width="26.7109375" bestFit="1" customWidth="1"/>
    <col min="30" max="30" width="24.42578125" bestFit="1" customWidth="1"/>
    <col min="31" max="31" width="255.7109375" bestFit="1" customWidth="1"/>
  </cols>
  <sheetData>
    <row r="1" spans="1:31" ht="15" x14ac:dyDescent="0.25">
      <c r="A1" t="s">
        <v>1105</v>
      </c>
      <c r="B1" s="1" t="s">
        <v>0</v>
      </c>
      <c r="C1" s="2" t="s">
        <v>1</v>
      </c>
      <c r="D1" s="2" t="s">
        <v>2</v>
      </c>
      <c r="E1" s="1" t="s">
        <v>3</v>
      </c>
      <c r="F1" s="1" t="s">
        <v>4</v>
      </c>
      <c r="G1" s="1" t="s">
        <v>5</v>
      </c>
      <c r="H1" s="1" t="s">
        <v>6</v>
      </c>
      <c r="I1" s="1" t="s">
        <v>7</v>
      </c>
      <c r="J1" s="1" t="s">
        <v>8</v>
      </c>
      <c r="K1" s="1"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c r="AC1" s="1" t="s">
        <v>27</v>
      </c>
      <c r="AD1" s="1" t="s">
        <v>28</v>
      </c>
      <c r="AE1" s="2" t="s">
        <v>29</v>
      </c>
    </row>
    <row r="2" spans="1:31" ht="15" x14ac:dyDescent="0.25">
      <c r="A2">
        <v>1</v>
      </c>
      <c r="C2" t="s">
        <v>1104</v>
      </c>
      <c r="E2">
        <v>0</v>
      </c>
      <c r="F2" s="2">
        <v>0</v>
      </c>
      <c r="G2" s="2">
        <v>0</v>
      </c>
      <c r="H2" s="2">
        <v>0</v>
      </c>
      <c r="I2" s="2">
        <v>0</v>
      </c>
      <c r="J2" s="2">
        <v>0</v>
      </c>
      <c r="K2" s="2">
        <v>0</v>
      </c>
      <c r="L2" s="2">
        <v>0</v>
      </c>
      <c r="M2" s="2">
        <v>0</v>
      </c>
      <c r="N2" s="2">
        <v>0</v>
      </c>
      <c r="O2" s="2">
        <v>0</v>
      </c>
      <c r="P2" s="2">
        <v>0</v>
      </c>
      <c r="Q2" s="2">
        <v>0</v>
      </c>
      <c r="R2" s="2">
        <v>0</v>
      </c>
      <c r="S2" s="2">
        <v>0</v>
      </c>
      <c r="T2" s="2">
        <v>0</v>
      </c>
      <c r="U2" s="2">
        <v>0</v>
      </c>
      <c r="V2" s="2">
        <v>0</v>
      </c>
      <c r="W2" s="2">
        <v>0</v>
      </c>
      <c r="X2" s="2">
        <v>0</v>
      </c>
      <c r="Y2" s="2">
        <v>0</v>
      </c>
      <c r="Z2" s="2">
        <v>0</v>
      </c>
      <c r="AA2" s="2">
        <v>0</v>
      </c>
      <c r="AB2" s="2">
        <v>0</v>
      </c>
      <c r="AC2" s="2">
        <v>0</v>
      </c>
      <c r="AD2" s="2">
        <v>0</v>
      </c>
      <c r="AE2" s="2">
        <v>0</v>
      </c>
    </row>
    <row r="3" spans="1:31" ht="15" x14ac:dyDescent="0.25">
      <c r="A3">
        <v>2</v>
      </c>
      <c r="B3" s="2">
        <v>100</v>
      </c>
      <c r="C3" s="2" t="s">
        <v>30</v>
      </c>
      <c r="D3" s="2" t="s">
        <v>31</v>
      </c>
      <c r="E3" s="2">
        <v>2000</v>
      </c>
      <c r="F3" s="2">
        <v>-1</v>
      </c>
      <c r="G3" s="2">
        <v>0</v>
      </c>
      <c r="H3" s="2">
        <v>0</v>
      </c>
      <c r="I3" s="2">
        <v>0</v>
      </c>
      <c r="J3" s="2">
        <v>1000</v>
      </c>
      <c r="K3" s="2">
        <v>3</v>
      </c>
      <c r="L3" s="2">
        <v>0</v>
      </c>
      <c r="M3" s="2">
        <v>0</v>
      </c>
      <c r="N3" s="2">
        <v>4000</v>
      </c>
      <c r="O3" s="2">
        <v>-1</v>
      </c>
      <c r="P3" s="2">
        <v>-1</v>
      </c>
      <c r="Q3" s="2">
        <v>-1</v>
      </c>
      <c r="R3" s="2">
        <v>0</v>
      </c>
      <c r="S3" s="2">
        <v>0</v>
      </c>
      <c r="T3" s="2">
        <v>0</v>
      </c>
      <c r="U3" s="2">
        <v>2</v>
      </c>
      <c r="V3" s="2">
        <v>0</v>
      </c>
      <c r="W3" s="2">
        <v>101400</v>
      </c>
      <c r="X3" s="2">
        <v>101410</v>
      </c>
      <c r="Y3" s="2">
        <v>101420</v>
      </c>
      <c r="Z3" s="2" t="b">
        <v>1</v>
      </c>
      <c r="AA3" s="2" t="b">
        <v>0</v>
      </c>
      <c r="AB3" s="2" t="b">
        <v>0</v>
      </c>
      <c r="AC3" s="2" t="s">
        <v>32</v>
      </c>
      <c r="AD3" s="2" t="s">
        <v>33</v>
      </c>
      <c r="AE3" s="2" t="s">
        <v>34</v>
      </c>
    </row>
    <row r="4" spans="1:31" ht="15" x14ac:dyDescent="0.25">
      <c r="A4">
        <v>3</v>
      </c>
      <c r="B4" s="2">
        <v>143</v>
      </c>
      <c r="C4" s="2" t="s">
        <v>195</v>
      </c>
      <c r="D4" s="2" t="s">
        <v>196</v>
      </c>
      <c r="E4" s="2">
        <v>2250</v>
      </c>
      <c r="F4" s="2">
        <v>-1</v>
      </c>
      <c r="G4" s="2">
        <v>0</v>
      </c>
      <c r="H4" s="2">
        <v>0</v>
      </c>
      <c r="I4" s="2">
        <v>0</v>
      </c>
      <c r="J4" s="2">
        <v>1000</v>
      </c>
      <c r="K4" s="2">
        <v>39</v>
      </c>
      <c r="L4" s="2">
        <v>0</v>
      </c>
      <c r="M4" s="2">
        <v>0</v>
      </c>
      <c r="N4" s="2">
        <v>4029</v>
      </c>
      <c r="O4" s="2">
        <v>-1</v>
      </c>
      <c r="P4" s="2">
        <v>-1</v>
      </c>
      <c r="Q4" s="2">
        <v>-1</v>
      </c>
      <c r="R4" s="2">
        <v>0</v>
      </c>
      <c r="S4" s="2">
        <v>0</v>
      </c>
      <c r="T4" s="2">
        <v>0</v>
      </c>
      <c r="U4" s="2">
        <v>2</v>
      </c>
      <c r="V4" s="2">
        <v>0</v>
      </c>
      <c r="W4" s="2">
        <v>101400</v>
      </c>
      <c r="X4" s="2">
        <v>101410</v>
      </c>
      <c r="Y4" s="2">
        <v>101420</v>
      </c>
      <c r="Z4" s="2" t="b">
        <v>1</v>
      </c>
      <c r="AA4" s="2" t="b">
        <v>1</v>
      </c>
      <c r="AB4" s="2" t="b">
        <v>0</v>
      </c>
      <c r="AC4" s="2" t="s">
        <v>197</v>
      </c>
      <c r="AD4" s="2" t="s">
        <v>198</v>
      </c>
      <c r="AE4" s="2" t="s">
        <v>199</v>
      </c>
    </row>
    <row r="5" spans="1:31" ht="15" x14ac:dyDescent="0.25">
      <c r="A5">
        <v>4</v>
      </c>
      <c r="B5" s="2">
        <v>101</v>
      </c>
      <c r="C5" s="2" t="s">
        <v>35</v>
      </c>
      <c r="D5" s="2" t="s">
        <v>36</v>
      </c>
      <c r="E5" s="2">
        <v>2010</v>
      </c>
      <c r="F5" s="2">
        <v>-1</v>
      </c>
      <c r="G5" s="2">
        <v>0</v>
      </c>
      <c r="H5" s="2">
        <v>0</v>
      </c>
      <c r="I5" s="2">
        <v>0</v>
      </c>
      <c r="J5" s="2">
        <v>100</v>
      </c>
      <c r="K5" s="2">
        <v>12</v>
      </c>
      <c r="L5" s="2">
        <v>0</v>
      </c>
      <c r="M5" s="2">
        <v>0</v>
      </c>
      <c r="N5" s="2">
        <v>4001</v>
      </c>
      <c r="O5" s="2">
        <v>-1</v>
      </c>
      <c r="P5" s="2">
        <v>-1</v>
      </c>
      <c r="Q5" s="2">
        <v>-1</v>
      </c>
      <c r="R5" s="2">
        <v>0</v>
      </c>
      <c r="S5" s="2">
        <v>0</v>
      </c>
      <c r="T5" s="2">
        <v>0</v>
      </c>
      <c r="U5" s="2">
        <v>2</v>
      </c>
      <c r="V5" s="2">
        <v>0</v>
      </c>
      <c r="W5" s="2">
        <v>101400</v>
      </c>
      <c r="X5" s="2">
        <v>101410</v>
      </c>
      <c r="Y5" s="2">
        <v>101420</v>
      </c>
      <c r="Z5" s="2" t="b">
        <v>1</v>
      </c>
      <c r="AA5" s="2" t="b">
        <v>0</v>
      </c>
      <c r="AB5" s="2" t="b">
        <v>0</v>
      </c>
      <c r="AC5" s="2" t="s">
        <v>37</v>
      </c>
      <c r="AD5" s="2" t="s">
        <v>38</v>
      </c>
      <c r="AE5" s="2" t="s">
        <v>39</v>
      </c>
    </row>
    <row r="6" spans="1:31" ht="15" x14ac:dyDescent="0.25">
      <c r="A6">
        <v>5</v>
      </c>
      <c r="B6" s="2">
        <v>102</v>
      </c>
      <c r="C6" s="2" t="s">
        <v>40</v>
      </c>
      <c r="D6" s="2" t="s">
        <v>41</v>
      </c>
      <c r="E6" s="2">
        <v>2320</v>
      </c>
      <c r="F6" s="2">
        <v>-1</v>
      </c>
      <c r="G6" s="2">
        <v>0</v>
      </c>
      <c r="H6" s="2">
        <v>0</v>
      </c>
      <c r="I6" s="2">
        <v>0</v>
      </c>
      <c r="J6" s="2">
        <v>1000</v>
      </c>
      <c r="K6" s="2">
        <v>23</v>
      </c>
      <c r="L6" s="2">
        <v>0</v>
      </c>
      <c r="M6" s="2">
        <v>0</v>
      </c>
      <c r="N6" s="2">
        <v>4040</v>
      </c>
      <c r="O6" s="2">
        <v>-1</v>
      </c>
      <c r="P6" s="2">
        <v>-1</v>
      </c>
      <c r="Q6" s="2">
        <v>-1</v>
      </c>
      <c r="R6" s="2">
        <v>0</v>
      </c>
      <c r="S6" s="2">
        <v>0</v>
      </c>
      <c r="T6" s="2">
        <v>0</v>
      </c>
      <c r="U6" s="2">
        <v>2</v>
      </c>
      <c r="V6" s="2">
        <v>0</v>
      </c>
      <c r="W6" s="2">
        <v>101400</v>
      </c>
      <c r="X6" s="2">
        <v>101410</v>
      </c>
      <c r="Y6" s="2">
        <v>101420</v>
      </c>
      <c r="Z6" s="2" t="b">
        <v>1</v>
      </c>
      <c r="AA6" s="2" t="b">
        <v>0</v>
      </c>
      <c r="AB6" s="2" t="b">
        <v>0</v>
      </c>
      <c r="AC6" s="2" t="s">
        <v>42</v>
      </c>
      <c r="AD6" s="2" t="s">
        <v>43</v>
      </c>
      <c r="AE6" s="2" t="s">
        <v>44</v>
      </c>
    </row>
    <row r="7" spans="1:31" ht="15" x14ac:dyDescent="0.25">
      <c r="A7">
        <v>6</v>
      </c>
      <c r="B7" s="2">
        <v>103</v>
      </c>
      <c r="C7" s="2" t="s">
        <v>45</v>
      </c>
      <c r="D7" s="2" t="s">
        <v>46</v>
      </c>
      <c r="E7" s="2">
        <v>2330</v>
      </c>
      <c r="F7" s="2">
        <v>-1</v>
      </c>
      <c r="G7" s="2">
        <v>0</v>
      </c>
      <c r="H7" s="2">
        <v>0</v>
      </c>
      <c r="I7" s="2">
        <v>0</v>
      </c>
      <c r="J7" s="2">
        <v>1000</v>
      </c>
      <c r="K7" s="2">
        <v>37</v>
      </c>
      <c r="L7" s="2">
        <v>0</v>
      </c>
      <c r="M7" s="2">
        <v>0</v>
      </c>
      <c r="N7" s="2">
        <v>4041</v>
      </c>
      <c r="O7" s="2">
        <v>-1</v>
      </c>
      <c r="P7" s="2">
        <v>-1</v>
      </c>
      <c r="Q7" s="2">
        <v>-1</v>
      </c>
      <c r="R7" s="2">
        <v>0</v>
      </c>
      <c r="S7" s="2">
        <v>0</v>
      </c>
      <c r="T7" s="2">
        <v>0</v>
      </c>
      <c r="U7" s="2">
        <v>2</v>
      </c>
      <c r="V7" s="2">
        <v>0</v>
      </c>
      <c r="W7" s="2">
        <v>101400</v>
      </c>
      <c r="X7" s="2">
        <v>101410</v>
      </c>
      <c r="Y7" s="2">
        <v>101420</v>
      </c>
      <c r="Z7" s="2" t="b">
        <v>1</v>
      </c>
      <c r="AA7" s="2" t="b">
        <v>0</v>
      </c>
      <c r="AB7" s="2" t="b">
        <v>0</v>
      </c>
      <c r="AC7" s="2" t="s">
        <v>47</v>
      </c>
      <c r="AD7" s="2" t="s">
        <v>48</v>
      </c>
      <c r="AE7" s="2" t="s">
        <v>49</v>
      </c>
    </row>
    <row r="8" spans="1:31" ht="15" x14ac:dyDescent="0.25">
      <c r="A8">
        <v>7</v>
      </c>
      <c r="B8" s="2">
        <v>104</v>
      </c>
      <c r="C8" s="2" t="s">
        <v>50</v>
      </c>
      <c r="D8" s="2" t="s">
        <v>51</v>
      </c>
      <c r="E8" s="2">
        <v>2013</v>
      </c>
      <c r="F8" s="2">
        <v>-1</v>
      </c>
      <c r="G8" s="2">
        <v>0</v>
      </c>
      <c r="H8" s="2">
        <v>0</v>
      </c>
      <c r="I8" s="2">
        <v>0</v>
      </c>
      <c r="J8" s="2">
        <v>100</v>
      </c>
      <c r="K8" s="2">
        <v>2</v>
      </c>
      <c r="L8" s="2">
        <v>0</v>
      </c>
      <c r="M8" s="2">
        <v>0</v>
      </c>
      <c r="N8" s="2">
        <v>4004</v>
      </c>
      <c r="O8" s="2">
        <v>-1</v>
      </c>
      <c r="P8" s="2">
        <v>-1</v>
      </c>
      <c r="Q8" s="2">
        <v>-1</v>
      </c>
      <c r="R8" s="2">
        <v>0</v>
      </c>
      <c r="S8" s="2">
        <v>0</v>
      </c>
      <c r="T8" s="2">
        <v>0</v>
      </c>
      <c r="U8" s="2">
        <v>2</v>
      </c>
      <c r="V8" s="2">
        <v>0</v>
      </c>
      <c r="W8" s="2">
        <v>101400</v>
      </c>
      <c r="X8" s="2">
        <v>101410</v>
      </c>
      <c r="Y8" s="2">
        <v>101420</v>
      </c>
      <c r="Z8" s="2" t="b">
        <v>1</v>
      </c>
      <c r="AA8" s="2" t="b">
        <v>0</v>
      </c>
      <c r="AB8" s="2" t="b">
        <v>0</v>
      </c>
      <c r="AC8" s="2" t="s">
        <v>52</v>
      </c>
      <c r="AD8" s="2" t="s">
        <v>53</v>
      </c>
      <c r="AE8" s="2" t="s">
        <v>54</v>
      </c>
    </row>
    <row r="9" spans="1:31" ht="15" x14ac:dyDescent="0.25">
      <c r="A9">
        <v>8</v>
      </c>
      <c r="B9" s="2">
        <v>105</v>
      </c>
      <c r="C9" s="2" t="s">
        <v>55</v>
      </c>
      <c r="D9" s="2" t="s">
        <v>56</v>
      </c>
      <c r="E9" s="2">
        <v>2020</v>
      </c>
      <c r="F9" s="2">
        <v>-1</v>
      </c>
      <c r="G9" s="2">
        <v>0</v>
      </c>
      <c r="H9" s="2">
        <v>0</v>
      </c>
      <c r="I9" s="2">
        <v>0</v>
      </c>
      <c r="J9" s="2">
        <v>100</v>
      </c>
      <c r="K9" s="2">
        <v>6</v>
      </c>
      <c r="L9" s="2">
        <v>0</v>
      </c>
      <c r="M9" s="2">
        <v>0</v>
      </c>
      <c r="N9" s="2">
        <v>4005</v>
      </c>
      <c r="O9" s="2">
        <v>-1</v>
      </c>
      <c r="P9" s="2">
        <v>-1</v>
      </c>
      <c r="Q9" s="2">
        <v>-1</v>
      </c>
      <c r="R9" s="2">
        <v>0</v>
      </c>
      <c r="S9" s="2">
        <v>0</v>
      </c>
      <c r="T9" s="2">
        <v>0</v>
      </c>
      <c r="U9" s="2">
        <v>2</v>
      </c>
      <c r="V9" s="2">
        <v>0</v>
      </c>
      <c r="W9" s="2">
        <v>101400</v>
      </c>
      <c r="X9" s="2">
        <v>101410</v>
      </c>
      <c r="Y9" s="2">
        <v>101420</v>
      </c>
      <c r="Z9" s="2" t="b">
        <v>1</v>
      </c>
      <c r="AA9" s="2" t="b">
        <v>0</v>
      </c>
      <c r="AB9" s="2" t="b">
        <v>0</v>
      </c>
      <c r="AC9" s="2" t="s">
        <v>57</v>
      </c>
      <c r="AD9" s="2" t="s">
        <v>58</v>
      </c>
      <c r="AE9" s="2" t="s">
        <v>59</v>
      </c>
    </row>
    <row r="10" spans="1:31" ht="15" x14ac:dyDescent="0.25">
      <c r="A10">
        <v>9</v>
      </c>
      <c r="B10" s="2">
        <v>106</v>
      </c>
      <c r="C10" s="2" t="s">
        <v>60</v>
      </c>
      <c r="D10" s="2" t="s">
        <v>61</v>
      </c>
      <c r="E10" s="2">
        <v>2021</v>
      </c>
      <c r="F10" s="2">
        <v>-1</v>
      </c>
      <c r="G10" s="2">
        <v>0</v>
      </c>
      <c r="H10" s="2">
        <v>0</v>
      </c>
      <c r="I10" s="2">
        <v>0</v>
      </c>
      <c r="J10" s="2">
        <v>100</v>
      </c>
      <c r="K10" s="2">
        <v>7</v>
      </c>
      <c r="L10" s="2">
        <v>0</v>
      </c>
      <c r="M10" s="2">
        <v>0</v>
      </c>
      <c r="N10" s="2">
        <v>4006</v>
      </c>
      <c r="O10" s="2">
        <v>-1</v>
      </c>
      <c r="P10" s="2">
        <v>-1</v>
      </c>
      <c r="Q10" s="2">
        <v>-1</v>
      </c>
      <c r="R10" s="2">
        <v>0</v>
      </c>
      <c r="S10" s="2">
        <v>0</v>
      </c>
      <c r="T10" s="2">
        <v>0</v>
      </c>
      <c r="U10" s="2">
        <v>2</v>
      </c>
      <c r="V10" s="2">
        <v>0</v>
      </c>
      <c r="W10" s="2">
        <v>101400</v>
      </c>
      <c r="X10" s="2">
        <v>101410</v>
      </c>
      <c r="Y10" s="2">
        <v>101420</v>
      </c>
      <c r="Z10" s="2" t="b">
        <v>1</v>
      </c>
      <c r="AA10" s="2" t="b">
        <v>0</v>
      </c>
      <c r="AB10" s="2" t="b">
        <v>0</v>
      </c>
      <c r="AC10" s="2" t="s">
        <v>62</v>
      </c>
      <c r="AD10" s="2" t="s">
        <v>63</v>
      </c>
      <c r="AE10" s="2" t="s">
        <v>64</v>
      </c>
    </row>
    <row r="11" spans="1:31" ht="15" x14ac:dyDescent="0.25">
      <c r="A11">
        <v>10</v>
      </c>
      <c r="B11" s="2">
        <v>107</v>
      </c>
      <c r="C11" s="2" t="s">
        <v>65</v>
      </c>
      <c r="D11" s="2" t="s">
        <v>66</v>
      </c>
      <c r="E11" s="2">
        <v>2022</v>
      </c>
      <c r="F11" s="2">
        <v>-1</v>
      </c>
      <c r="G11" s="2">
        <v>0</v>
      </c>
      <c r="H11" s="2">
        <v>0</v>
      </c>
      <c r="I11" s="2">
        <v>0</v>
      </c>
      <c r="J11" s="2">
        <v>100</v>
      </c>
      <c r="K11" s="2">
        <v>5</v>
      </c>
      <c r="L11" s="2">
        <v>0</v>
      </c>
      <c r="M11" s="2">
        <v>0</v>
      </c>
      <c r="N11" s="2">
        <v>4007</v>
      </c>
      <c r="O11" s="2">
        <v>-1</v>
      </c>
      <c r="P11" s="2">
        <v>-1</v>
      </c>
      <c r="Q11" s="2">
        <v>-1</v>
      </c>
      <c r="R11" s="2">
        <v>0</v>
      </c>
      <c r="S11" s="2">
        <v>0</v>
      </c>
      <c r="T11" s="2">
        <v>0</v>
      </c>
      <c r="U11" s="2">
        <v>2</v>
      </c>
      <c r="V11" s="2">
        <v>0</v>
      </c>
      <c r="W11" s="2">
        <v>101400</v>
      </c>
      <c r="X11" s="2">
        <v>101410</v>
      </c>
      <c r="Y11" s="2">
        <v>101420</v>
      </c>
      <c r="Z11" s="2" t="b">
        <v>1</v>
      </c>
      <c r="AA11" s="2" t="b">
        <v>0</v>
      </c>
      <c r="AB11" s="2" t="b">
        <v>0</v>
      </c>
      <c r="AC11" s="2" t="s">
        <v>67</v>
      </c>
      <c r="AD11" s="2" t="s">
        <v>68</v>
      </c>
      <c r="AE11" s="2" t="s">
        <v>69</v>
      </c>
    </row>
    <row r="12" spans="1:31" ht="15" x14ac:dyDescent="0.25">
      <c r="A12">
        <v>11</v>
      </c>
      <c r="B12" s="2">
        <v>108</v>
      </c>
      <c r="C12" s="2" t="s">
        <v>70</v>
      </c>
      <c r="D12" s="2" t="s">
        <v>71</v>
      </c>
      <c r="E12" s="2">
        <v>2024</v>
      </c>
      <c r="F12" s="2">
        <v>-1</v>
      </c>
      <c r="G12" s="2">
        <v>0</v>
      </c>
      <c r="H12" s="2">
        <v>0</v>
      </c>
      <c r="I12" s="2">
        <v>0</v>
      </c>
      <c r="J12" s="2">
        <v>100</v>
      </c>
      <c r="K12" s="2">
        <v>8</v>
      </c>
      <c r="L12" s="2">
        <v>0</v>
      </c>
      <c r="M12" s="2">
        <v>0</v>
      </c>
      <c r="N12" s="2">
        <v>4008</v>
      </c>
      <c r="O12" s="2">
        <v>-1</v>
      </c>
      <c r="P12" s="2">
        <v>-1</v>
      </c>
      <c r="Q12" s="2">
        <v>-1</v>
      </c>
      <c r="R12" s="2">
        <v>0</v>
      </c>
      <c r="S12" s="2">
        <v>0</v>
      </c>
      <c r="T12" s="2">
        <v>0</v>
      </c>
      <c r="U12" s="2">
        <v>2</v>
      </c>
      <c r="V12" s="2">
        <v>0</v>
      </c>
      <c r="W12" s="2">
        <v>101400</v>
      </c>
      <c r="X12" s="2">
        <v>101410</v>
      </c>
      <c r="Y12" s="2">
        <v>101420</v>
      </c>
      <c r="Z12" s="2" t="b">
        <v>1</v>
      </c>
      <c r="AA12" s="2" t="b">
        <v>0</v>
      </c>
      <c r="AB12" s="2" t="b">
        <v>0</v>
      </c>
      <c r="AC12" s="2" t="s">
        <v>72</v>
      </c>
      <c r="AD12" s="2" t="s">
        <v>73</v>
      </c>
      <c r="AE12" s="2" t="s">
        <v>74</v>
      </c>
    </row>
    <row r="13" spans="1:31" ht="15" x14ac:dyDescent="0.25">
      <c r="A13">
        <v>12</v>
      </c>
      <c r="B13" s="2">
        <v>109</v>
      </c>
      <c r="C13" s="2" t="s">
        <v>75</v>
      </c>
      <c r="D13" s="2" t="s">
        <v>76</v>
      </c>
      <c r="E13" s="2">
        <v>2030</v>
      </c>
      <c r="F13" s="2">
        <v>-1</v>
      </c>
      <c r="G13" s="2">
        <v>0</v>
      </c>
      <c r="H13" s="2">
        <v>0</v>
      </c>
      <c r="I13" s="2">
        <v>0</v>
      </c>
      <c r="J13" s="2">
        <v>100</v>
      </c>
      <c r="K13" s="2">
        <v>9</v>
      </c>
      <c r="L13" s="2">
        <v>0</v>
      </c>
      <c r="M13" s="2">
        <v>0</v>
      </c>
      <c r="N13" s="2">
        <v>4009</v>
      </c>
      <c r="O13" s="2">
        <v>-1</v>
      </c>
      <c r="P13" s="2">
        <v>-1</v>
      </c>
      <c r="Q13" s="2">
        <v>-1</v>
      </c>
      <c r="R13" s="2">
        <v>0</v>
      </c>
      <c r="S13" s="2">
        <v>0</v>
      </c>
      <c r="T13" s="2">
        <v>0</v>
      </c>
      <c r="U13" s="2">
        <v>2</v>
      </c>
      <c r="V13" s="2">
        <v>0</v>
      </c>
      <c r="W13" s="2">
        <v>101400</v>
      </c>
      <c r="X13" s="2">
        <v>101410</v>
      </c>
      <c r="Y13" s="2">
        <v>101420</v>
      </c>
      <c r="Z13" s="2" t="b">
        <v>1</v>
      </c>
      <c r="AA13" s="2" t="b">
        <v>0</v>
      </c>
      <c r="AB13" s="2" t="b">
        <v>0</v>
      </c>
      <c r="AC13" s="2" t="s">
        <v>77</v>
      </c>
      <c r="AD13" s="2" t="s">
        <v>78</v>
      </c>
      <c r="AE13" s="2" t="s">
        <v>79</v>
      </c>
    </row>
    <row r="14" spans="1:31" ht="15" x14ac:dyDescent="0.25">
      <c r="A14">
        <v>13</v>
      </c>
      <c r="B14" s="2">
        <v>110</v>
      </c>
      <c r="C14" s="2" t="s">
        <v>80</v>
      </c>
      <c r="D14" s="2" t="s">
        <v>81</v>
      </c>
      <c r="E14" s="2">
        <v>2031</v>
      </c>
      <c r="F14" s="2">
        <v>-1</v>
      </c>
      <c r="G14" s="2">
        <v>0</v>
      </c>
      <c r="H14" s="2">
        <v>0</v>
      </c>
      <c r="I14" s="2">
        <v>0</v>
      </c>
      <c r="J14" s="2">
        <v>100</v>
      </c>
      <c r="K14" s="2">
        <v>10</v>
      </c>
      <c r="L14" s="2">
        <v>0</v>
      </c>
      <c r="M14" s="2">
        <v>0</v>
      </c>
      <c r="N14" s="2">
        <v>4010</v>
      </c>
      <c r="O14" s="2">
        <v>-1</v>
      </c>
      <c r="P14" s="2">
        <v>-1</v>
      </c>
      <c r="Q14" s="2">
        <v>-1</v>
      </c>
      <c r="R14" s="2">
        <v>0</v>
      </c>
      <c r="S14" s="2">
        <v>0</v>
      </c>
      <c r="T14" s="2">
        <v>0</v>
      </c>
      <c r="U14" s="2">
        <v>2</v>
      </c>
      <c r="V14" s="2">
        <v>0</v>
      </c>
      <c r="W14" s="2">
        <v>101400</v>
      </c>
      <c r="X14" s="2">
        <v>101410</v>
      </c>
      <c r="Y14" s="2">
        <v>101420</v>
      </c>
      <c r="Z14" s="2" t="b">
        <v>1</v>
      </c>
      <c r="AA14" s="2" t="b">
        <v>0</v>
      </c>
      <c r="AB14" s="2" t="b">
        <v>0</v>
      </c>
      <c r="AC14" s="2" t="s">
        <v>82</v>
      </c>
      <c r="AD14" s="2" t="s">
        <v>83</v>
      </c>
      <c r="AE14" s="2" t="s">
        <v>84</v>
      </c>
    </row>
    <row r="15" spans="1:31" ht="15" x14ac:dyDescent="0.25">
      <c r="A15">
        <v>14</v>
      </c>
      <c r="B15" s="2">
        <v>111</v>
      </c>
      <c r="C15" s="2" t="s">
        <v>85</v>
      </c>
      <c r="D15" s="2" t="s">
        <v>86</v>
      </c>
      <c r="E15" s="2">
        <v>2340</v>
      </c>
      <c r="F15" s="2">
        <v>-1</v>
      </c>
      <c r="G15" s="2">
        <v>0</v>
      </c>
      <c r="H15" s="2">
        <v>0</v>
      </c>
      <c r="I15" s="2">
        <v>0</v>
      </c>
      <c r="J15" s="2">
        <v>100</v>
      </c>
      <c r="K15" s="2">
        <v>1</v>
      </c>
      <c r="L15" s="2">
        <v>0</v>
      </c>
      <c r="M15" s="2">
        <v>0</v>
      </c>
      <c r="N15" s="2">
        <v>4042</v>
      </c>
      <c r="O15" s="2">
        <v>-1</v>
      </c>
      <c r="P15" s="2">
        <v>-1</v>
      </c>
      <c r="Q15" s="2">
        <v>-1</v>
      </c>
      <c r="R15" s="2">
        <v>0</v>
      </c>
      <c r="S15" s="2">
        <v>0</v>
      </c>
      <c r="T15" s="2">
        <v>0</v>
      </c>
      <c r="U15" s="2">
        <v>2</v>
      </c>
      <c r="V15" s="2">
        <v>0</v>
      </c>
      <c r="W15" s="2">
        <v>101400</v>
      </c>
      <c r="X15" s="2">
        <v>101410</v>
      </c>
      <c r="Y15" s="2">
        <v>101420</v>
      </c>
      <c r="Z15" s="2" t="b">
        <v>1</v>
      </c>
      <c r="AA15" s="2" t="b">
        <v>0</v>
      </c>
      <c r="AB15" s="2" t="b">
        <v>0</v>
      </c>
      <c r="AC15" s="2" t="s">
        <v>87</v>
      </c>
      <c r="AD15" s="2" t="s">
        <v>88</v>
      </c>
      <c r="AE15" s="2" t="s">
        <v>89</v>
      </c>
    </row>
    <row r="16" spans="1:31" ht="15" x14ac:dyDescent="0.25">
      <c r="A16">
        <v>15</v>
      </c>
      <c r="B16" s="2">
        <v>113</v>
      </c>
      <c r="C16" s="2" t="s">
        <v>90</v>
      </c>
      <c r="D16" s="2" t="s">
        <v>91</v>
      </c>
      <c r="E16" s="2">
        <v>2034</v>
      </c>
      <c r="F16" s="2">
        <v>-1</v>
      </c>
      <c r="G16" s="2">
        <v>0</v>
      </c>
      <c r="H16" s="2">
        <v>0</v>
      </c>
      <c r="I16" s="2">
        <v>0</v>
      </c>
      <c r="J16" s="2">
        <v>100</v>
      </c>
      <c r="K16" s="2">
        <v>11</v>
      </c>
      <c r="L16" s="2">
        <v>0</v>
      </c>
      <c r="M16" s="2">
        <v>0</v>
      </c>
      <c r="N16" s="2">
        <v>4013</v>
      </c>
      <c r="O16" s="2">
        <v>-1</v>
      </c>
      <c r="P16" s="2">
        <v>-1</v>
      </c>
      <c r="Q16" s="2">
        <v>-1</v>
      </c>
      <c r="R16" s="2">
        <v>0</v>
      </c>
      <c r="S16" s="2">
        <v>0</v>
      </c>
      <c r="T16" s="2">
        <v>0</v>
      </c>
      <c r="U16" s="2">
        <v>2</v>
      </c>
      <c r="V16" s="2">
        <v>0</v>
      </c>
      <c r="W16" s="2">
        <v>101400</v>
      </c>
      <c r="X16" s="2">
        <v>101410</v>
      </c>
      <c r="Y16" s="2">
        <v>101420</v>
      </c>
      <c r="Z16" s="2" t="b">
        <v>1</v>
      </c>
      <c r="AA16" s="2" t="b">
        <v>0</v>
      </c>
      <c r="AB16" s="2" t="b">
        <v>0</v>
      </c>
      <c r="AC16" s="2" t="s">
        <v>92</v>
      </c>
      <c r="AD16" s="2" t="s">
        <v>93</v>
      </c>
      <c r="AE16" s="2" t="s">
        <v>94</v>
      </c>
    </row>
    <row r="17" spans="1:31" ht="15" x14ac:dyDescent="0.25">
      <c r="A17">
        <v>16</v>
      </c>
      <c r="B17" s="2">
        <v>114</v>
      </c>
      <c r="C17" s="2" t="s">
        <v>95</v>
      </c>
      <c r="D17" s="2" t="s">
        <v>96</v>
      </c>
      <c r="E17" s="2">
        <v>2040</v>
      </c>
      <c r="F17" s="2">
        <v>-1</v>
      </c>
      <c r="G17" s="2">
        <v>0</v>
      </c>
      <c r="H17" s="2">
        <v>0</v>
      </c>
      <c r="I17" s="2">
        <v>0</v>
      </c>
      <c r="J17" s="2">
        <v>100</v>
      </c>
      <c r="K17" s="2">
        <v>20</v>
      </c>
      <c r="L17" s="2">
        <v>0</v>
      </c>
      <c r="M17" s="2">
        <v>0</v>
      </c>
      <c r="N17" s="2">
        <v>4014</v>
      </c>
      <c r="O17" s="2">
        <v>-1</v>
      </c>
      <c r="P17" s="2">
        <v>-1</v>
      </c>
      <c r="Q17" s="2">
        <v>-1</v>
      </c>
      <c r="R17" s="2">
        <v>0</v>
      </c>
      <c r="S17" s="2">
        <v>0</v>
      </c>
      <c r="T17" s="2">
        <v>0</v>
      </c>
      <c r="U17" s="2">
        <v>2</v>
      </c>
      <c r="V17" s="2">
        <v>0</v>
      </c>
      <c r="W17" s="2">
        <v>101400</v>
      </c>
      <c r="X17" s="2">
        <v>101410</v>
      </c>
      <c r="Y17" s="2">
        <v>101420</v>
      </c>
      <c r="Z17" s="2" t="b">
        <v>1</v>
      </c>
      <c r="AA17" s="2" t="b">
        <v>0</v>
      </c>
      <c r="AB17" s="2" t="b">
        <v>0</v>
      </c>
      <c r="AC17" s="2" t="s">
        <v>97</v>
      </c>
      <c r="AD17" s="2" t="s">
        <v>98</v>
      </c>
      <c r="AE17" s="2" t="s">
        <v>99</v>
      </c>
    </row>
    <row r="18" spans="1:31" ht="15" x14ac:dyDescent="0.25">
      <c r="A18">
        <v>17</v>
      </c>
      <c r="B18" s="2">
        <v>115</v>
      </c>
      <c r="C18" s="2" t="s">
        <v>100</v>
      </c>
      <c r="D18" s="2" t="s">
        <v>101</v>
      </c>
      <c r="E18" s="2">
        <v>2050</v>
      </c>
      <c r="F18" s="2">
        <v>-1</v>
      </c>
      <c r="G18" s="2">
        <v>0</v>
      </c>
      <c r="H18" s="2">
        <v>0</v>
      </c>
      <c r="I18" s="2">
        <v>0</v>
      </c>
      <c r="J18" s="2">
        <v>100</v>
      </c>
      <c r="K18" s="2">
        <v>16</v>
      </c>
      <c r="L18" s="2">
        <v>0</v>
      </c>
      <c r="M18" s="2">
        <v>0</v>
      </c>
      <c r="N18" s="2">
        <v>4015</v>
      </c>
      <c r="O18" s="2">
        <v>-1</v>
      </c>
      <c r="P18" s="2">
        <v>-1</v>
      </c>
      <c r="Q18" s="2">
        <v>-1</v>
      </c>
      <c r="R18" s="2">
        <v>0</v>
      </c>
      <c r="S18" s="2">
        <v>0</v>
      </c>
      <c r="T18" s="2">
        <v>0</v>
      </c>
      <c r="U18" s="2">
        <v>2</v>
      </c>
      <c r="V18" s="2">
        <v>0</v>
      </c>
      <c r="W18" s="2">
        <v>101400</v>
      </c>
      <c r="X18" s="2">
        <v>101410</v>
      </c>
      <c r="Y18" s="2">
        <v>101420</v>
      </c>
      <c r="Z18" s="2" t="b">
        <v>1</v>
      </c>
      <c r="AA18" s="2" t="b">
        <v>0</v>
      </c>
      <c r="AB18" s="2" t="b">
        <v>0</v>
      </c>
      <c r="AC18" s="2" t="s">
        <v>102</v>
      </c>
      <c r="AD18" s="2" t="s">
        <v>103</v>
      </c>
      <c r="AE18" s="2" t="s">
        <v>104</v>
      </c>
    </row>
    <row r="19" spans="1:31" ht="15" x14ac:dyDescent="0.25">
      <c r="A19">
        <v>18</v>
      </c>
      <c r="B19" s="2">
        <v>116</v>
      </c>
      <c r="C19" s="2" t="s">
        <v>105</v>
      </c>
      <c r="D19" s="2" t="s">
        <v>106</v>
      </c>
      <c r="E19" s="2">
        <v>2060</v>
      </c>
      <c r="F19" s="2">
        <v>-1</v>
      </c>
      <c r="G19" s="2">
        <v>0</v>
      </c>
      <c r="H19" s="2">
        <v>0</v>
      </c>
      <c r="I19" s="2">
        <v>0</v>
      </c>
      <c r="J19" s="2">
        <v>1000</v>
      </c>
      <c r="K19" s="2">
        <v>19</v>
      </c>
      <c r="L19" s="2">
        <v>0</v>
      </c>
      <c r="M19" s="2">
        <v>0</v>
      </c>
      <c r="N19" s="2">
        <v>4016</v>
      </c>
      <c r="O19" s="2">
        <v>-1</v>
      </c>
      <c r="P19" s="2">
        <v>-1</v>
      </c>
      <c r="Q19" s="2">
        <v>-1</v>
      </c>
      <c r="R19" s="2">
        <v>0</v>
      </c>
      <c r="S19" s="2">
        <v>0</v>
      </c>
      <c r="T19" s="2">
        <v>0</v>
      </c>
      <c r="U19" s="2">
        <v>2</v>
      </c>
      <c r="V19" s="2">
        <v>0</v>
      </c>
      <c r="W19" s="2">
        <v>101400</v>
      </c>
      <c r="X19" s="2">
        <v>101410</v>
      </c>
      <c r="Y19" s="2">
        <v>101420</v>
      </c>
      <c r="Z19" s="2" t="b">
        <v>1</v>
      </c>
      <c r="AA19" s="2" t="b">
        <v>0</v>
      </c>
      <c r="AB19" s="2" t="b">
        <v>0</v>
      </c>
      <c r="AC19" s="2" t="s">
        <v>107</v>
      </c>
      <c r="AD19" s="2" t="s">
        <v>108</v>
      </c>
      <c r="AE19" s="2" t="s">
        <v>109</v>
      </c>
    </row>
    <row r="20" spans="1:31" ht="15" x14ac:dyDescent="0.25">
      <c r="A20">
        <v>19</v>
      </c>
      <c r="B20" s="2">
        <v>117</v>
      </c>
      <c r="C20" s="2" t="s">
        <v>110</v>
      </c>
      <c r="D20" s="2" t="s">
        <v>111</v>
      </c>
      <c r="E20" s="2">
        <v>36</v>
      </c>
      <c r="F20" s="2">
        <v>-1</v>
      </c>
      <c r="G20" s="2">
        <v>0</v>
      </c>
      <c r="H20" s="2">
        <v>0</v>
      </c>
      <c r="I20" s="2">
        <v>0</v>
      </c>
      <c r="J20" s="2">
        <v>1000</v>
      </c>
      <c r="K20" s="2">
        <v>28</v>
      </c>
      <c r="L20" s="2">
        <v>0</v>
      </c>
      <c r="M20" s="2">
        <v>0</v>
      </c>
      <c r="N20" s="2">
        <v>4017</v>
      </c>
      <c r="O20" s="2">
        <v>-1</v>
      </c>
      <c r="P20" s="2">
        <v>-1</v>
      </c>
      <c r="Q20" s="2">
        <v>-1</v>
      </c>
      <c r="R20" s="2">
        <v>0</v>
      </c>
      <c r="S20" s="2">
        <v>0</v>
      </c>
      <c r="T20" s="2">
        <v>0</v>
      </c>
      <c r="U20" s="2">
        <v>2</v>
      </c>
      <c r="V20" s="2">
        <v>0</v>
      </c>
      <c r="W20" s="2">
        <v>101400</v>
      </c>
      <c r="X20" s="2">
        <v>101410</v>
      </c>
      <c r="Y20" s="2">
        <v>101420</v>
      </c>
      <c r="Z20" s="2" t="b">
        <v>1</v>
      </c>
      <c r="AA20" s="2" t="b">
        <v>0</v>
      </c>
      <c r="AB20" s="2" t="b">
        <v>0</v>
      </c>
      <c r="AC20" s="2" t="s">
        <v>112</v>
      </c>
      <c r="AD20" s="2" t="s">
        <v>113</v>
      </c>
      <c r="AE20" s="2" t="s">
        <v>114</v>
      </c>
    </row>
    <row r="21" spans="1:31" ht="15" x14ac:dyDescent="0.25">
      <c r="A21">
        <v>20</v>
      </c>
      <c r="B21" s="2">
        <v>119</v>
      </c>
      <c r="C21" s="2" t="s">
        <v>115</v>
      </c>
      <c r="D21" s="2" t="s">
        <v>116</v>
      </c>
      <c r="E21" s="2">
        <v>2080</v>
      </c>
      <c r="F21" s="2">
        <v>-1</v>
      </c>
      <c r="G21" s="2">
        <v>0</v>
      </c>
      <c r="H21" s="2">
        <v>0</v>
      </c>
      <c r="I21" s="2">
        <v>0</v>
      </c>
      <c r="J21" s="2">
        <v>100</v>
      </c>
      <c r="K21" s="2">
        <v>27</v>
      </c>
      <c r="L21" s="2">
        <v>0</v>
      </c>
      <c r="M21" s="2">
        <v>0</v>
      </c>
      <c r="N21" s="2">
        <v>4019</v>
      </c>
      <c r="O21" s="2">
        <v>-1</v>
      </c>
      <c r="P21" s="2">
        <v>-1</v>
      </c>
      <c r="Q21" s="2">
        <v>-1</v>
      </c>
      <c r="R21" s="2">
        <v>0</v>
      </c>
      <c r="S21" s="2">
        <v>0</v>
      </c>
      <c r="T21" s="2">
        <v>0</v>
      </c>
      <c r="U21" s="2">
        <v>2</v>
      </c>
      <c r="V21" s="2">
        <v>0</v>
      </c>
      <c r="W21" s="2">
        <v>101400</v>
      </c>
      <c r="X21" s="2">
        <v>101410</v>
      </c>
      <c r="Y21" s="2">
        <v>101420</v>
      </c>
      <c r="Z21" s="2" t="b">
        <v>1</v>
      </c>
      <c r="AA21" s="2" t="b">
        <v>0</v>
      </c>
      <c r="AB21" s="2" t="b">
        <v>0</v>
      </c>
      <c r="AC21" s="2" t="s">
        <v>117</v>
      </c>
      <c r="AD21" s="2" t="s">
        <v>118</v>
      </c>
      <c r="AE21" s="2" t="s">
        <v>119</v>
      </c>
    </row>
    <row r="22" spans="1:31" ht="15" x14ac:dyDescent="0.25">
      <c r="A22">
        <v>21</v>
      </c>
      <c r="B22" s="2">
        <v>120</v>
      </c>
      <c r="C22" s="2" t="s">
        <v>120</v>
      </c>
      <c r="D22" s="2" t="s">
        <v>121</v>
      </c>
      <c r="E22" s="2">
        <v>2023</v>
      </c>
      <c r="F22" s="2">
        <v>-1</v>
      </c>
      <c r="G22" s="2">
        <v>0</v>
      </c>
      <c r="H22" s="2">
        <v>0</v>
      </c>
      <c r="I22" s="2">
        <v>0</v>
      </c>
      <c r="J22" s="2">
        <v>100</v>
      </c>
      <c r="K22" s="2">
        <v>4</v>
      </c>
      <c r="L22" s="2">
        <v>0</v>
      </c>
      <c r="M22" s="2">
        <v>0</v>
      </c>
      <c r="N22" s="2">
        <v>4020</v>
      </c>
      <c r="O22" s="2">
        <v>-1</v>
      </c>
      <c r="P22" s="2">
        <v>-1</v>
      </c>
      <c r="Q22" s="2">
        <v>-1</v>
      </c>
      <c r="R22" s="2">
        <v>0</v>
      </c>
      <c r="S22" s="2">
        <v>0</v>
      </c>
      <c r="T22" s="2">
        <v>0</v>
      </c>
      <c r="U22" s="2">
        <v>2</v>
      </c>
      <c r="V22" s="2">
        <v>0</v>
      </c>
      <c r="W22" s="2">
        <v>101400</v>
      </c>
      <c r="X22" s="2">
        <v>101410</v>
      </c>
      <c r="Y22" s="2">
        <v>101420</v>
      </c>
      <c r="Z22" s="2" t="b">
        <v>1</v>
      </c>
      <c r="AA22" s="2" t="b">
        <v>0</v>
      </c>
      <c r="AB22" s="2" t="b">
        <v>0</v>
      </c>
      <c r="AC22" s="2" t="s">
        <v>122</v>
      </c>
      <c r="AD22" s="2" t="s">
        <v>123</v>
      </c>
      <c r="AE22" s="2" t="s">
        <v>124</v>
      </c>
    </row>
    <row r="23" spans="1:31" ht="15" x14ac:dyDescent="0.25">
      <c r="A23">
        <v>22</v>
      </c>
      <c r="B23" s="2">
        <v>121</v>
      </c>
      <c r="C23" s="2" t="s">
        <v>125</v>
      </c>
      <c r="D23" s="2" t="s">
        <v>126</v>
      </c>
      <c r="E23" s="2">
        <v>2100</v>
      </c>
      <c r="F23" s="2">
        <v>-1</v>
      </c>
      <c r="G23" s="2">
        <v>0</v>
      </c>
      <c r="H23" s="2">
        <v>0</v>
      </c>
      <c r="I23" s="2">
        <v>0</v>
      </c>
      <c r="J23" s="2">
        <v>100</v>
      </c>
      <c r="K23" s="2">
        <v>32</v>
      </c>
      <c r="L23" s="2">
        <v>0</v>
      </c>
      <c r="M23" s="2">
        <v>0</v>
      </c>
      <c r="N23" s="2">
        <v>4021</v>
      </c>
      <c r="O23" s="2">
        <v>-1</v>
      </c>
      <c r="P23" s="2">
        <v>-1</v>
      </c>
      <c r="Q23" s="2">
        <v>-1</v>
      </c>
      <c r="R23" s="2">
        <v>0</v>
      </c>
      <c r="S23" s="2">
        <v>0</v>
      </c>
      <c r="T23" s="2">
        <v>0</v>
      </c>
      <c r="U23" s="2">
        <v>2</v>
      </c>
      <c r="V23" s="2">
        <v>0</v>
      </c>
      <c r="W23" s="2">
        <v>101400</v>
      </c>
      <c r="X23" s="2">
        <v>101410</v>
      </c>
      <c r="Y23" s="2">
        <v>101420</v>
      </c>
      <c r="Z23" s="2" t="b">
        <v>1</v>
      </c>
      <c r="AA23" s="2" t="b">
        <v>0</v>
      </c>
      <c r="AB23" s="2" t="b">
        <v>0</v>
      </c>
      <c r="AC23" s="2" t="s">
        <v>127</v>
      </c>
      <c r="AD23" s="2" t="s">
        <v>128</v>
      </c>
      <c r="AE23" s="2" t="s">
        <v>129</v>
      </c>
    </row>
    <row r="24" spans="1:31" ht="15" x14ac:dyDescent="0.25">
      <c r="A24">
        <v>23</v>
      </c>
      <c r="B24" s="2">
        <v>122</v>
      </c>
      <c r="C24" s="2" t="s">
        <v>130</v>
      </c>
      <c r="D24" s="2" t="s">
        <v>131</v>
      </c>
      <c r="E24" s="2">
        <v>2101</v>
      </c>
      <c r="F24" s="2">
        <v>-1</v>
      </c>
      <c r="G24" s="2">
        <v>0</v>
      </c>
      <c r="H24" s="2">
        <v>0</v>
      </c>
      <c r="I24" s="2">
        <v>0</v>
      </c>
      <c r="J24" s="2">
        <v>100</v>
      </c>
      <c r="K24" s="2">
        <v>33</v>
      </c>
      <c r="L24" s="2">
        <v>0</v>
      </c>
      <c r="M24" s="2">
        <v>0</v>
      </c>
      <c r="N24" s="2">
        <v>4022</v>
      </c>
      <c r="O24" s="2">
        <v>-1</v>
      </c>
      <c r="P24" s="2">
        <v>-1</v>
      </c>
      <c r="Q24" s="2">
        <v>-1</v>
      </c>
      <c r="R24" s="2">
        <v>0</v>
      </c>
      <c r="S24" s="2">
        <v>0</v>
      </c>
      <c r="T24" s="2">
        <v>0</v>
      </c>
      <c r="U24" s="2">
        <v>2</v>
      </c>
      <c r="V24" s="2">
        <v>0</v>
      </c>
      <c r="W24" s="2">
        <v>101400</v>
      </c>
      <c r="X24" s="2">
        <v>101410</v>
      </c>
      <c r="Y24" s="2">
        <v>101420</v>
      </c>
      <c r="Z24" s="2" t="b">
        <v>1</v>
      </c>
      <c r="AA24" s="2" t="b">
        <v>0</v>
      </c>
      <c r="AB24" s="2" t="b">
        <v>0</v>
      </c>
      <c r="AC24" s="2" t="s">
        <v>132</v>
      </c>
      <c r="AD24" s="2" t="s">
        <v>133</v>
      </c>
      <c r="AE24" s="2" t="s">
        <v>134</v>
      </c>
    </row>
    <row r="25" spans="1:31" ht="15" x14ac:dyDescent="0.25">
      <c r="A25">
        <v>24</v>
      </c>
      <c r="B25" s="2">
        <v>123</v>
      </c>
      <c r="C25" s="2" t="s">
        <v>135</v>
      </c>
      <c r="D25" s="2" t="s">
        <v>136</v>
      </c>
      <c r="E25" s="2">
        <v>2110</v>
      </c>
      <c r="F25" s="2">
        <v>-1</v>
      </c>
      <c r="G25" s="2">
        <v>0</v>
      </c>
      <c r="H25" s="2">
        <v>0</v>
      </c>
      <c r="I25" s="2">
        <v>0</v>
      </c>
      <c r="J25" s="2">
        <v>100</v>
      </c>
      <c r="K25" s="2">
        <v>18</v>
      </c>
      <c r="L25" s="2">
        <v>0</v>
      </c>
      <c r="M25" s="2">
        <v>0</v>
      </c>
      <c r="N25" s="2">
        <v>4023</v>
      </c>
      <c r="O25" s="2">
        <v>-1</v>
      </c>
      <c r="P25" s="2">
        <v>-1</v>
      </c>
      <c r="Q25" s="2">
        <v>-1</v>
      </c>
      <c r="R25" s="2">
        <v>0</v>
      </c>
      <c r="S25" s="2">
        <v>0</v>
      </c>
      <c r="T25" s="2">
        <v>0</v>
      </c>
      <c r="U25" s="2">
        <v>2</v>
      </c>
      <c r="V25" s="2">
        <v>0</v>
      </c>
      <c r="W25" s="2">
        <v>101400</v>
      </c>
      <c r="X25" s="2">
        <v>101410</v>
      </c>
      <c r="Y25" s="2">
        <v>101420</v>
      </c>
      <c r="Z25" s="2" t="b">
        <v>1</v>
      </c>
      <c r="AA25" s="2" t="b">
        <v>0</v>
      </c>
      <c r="AB25" s="2" t="b">
        <v>0</v>
      </c>
      <c r="AC25" s="2" t="s">
        <v>137</v>
      </c>
      <c r="AD25" s="2" t="s">
        <v>138</v>
      </c>
      <c r="AE25" s="2" t="s">
        <v>139</v>
      </c>
    </row>
    <row r="26" spans="1:31" ht="15" x14ac:dyDescent="0.25">
      <c r="A26">
        <v>25</v>
      </c>
      <c r="B26" s="2">
        <v>124</v>
      </c>
      <c r="C26" s="2" t="s">
        <v>140</v>
      </c>
      <c r="D26" s="2" t="s">
        <v>141</v>
      </c>
      <c r="E26" s="2">
        <v>2111</v>
      </c>
      <c r="F26" s="2">
        <v>-1</v>
      </c>
      <c r="G26" s="2">
        <v>0</v>
      </c>
      <c r="H26" s="2">
        <v>0</v>
      </c>
      <c r="I26" s="2">
        <v>0</v>
      </c>
      <c r="J26" s="2">
        <v>1000</v>
      </c>
      <c r="K26" s="2">
        <v>38</v>
      </c>
      <c r="L26" s="2">
        <v>0</v>
      </c>
      <c r="M26" s="2">
        <v>0</v>
      </c>
      <c r="N26" s="2">
        <v>4024</v>
      </c>
      <c r="O26" s="2">
        <v>-1</v>
      </c>
      <c r="P26" s="2">
        <v>-1</v>
      </c>
      <c r="Q26" s="2">
        <v>-1</v>
      </c>
      <c r="R26" s="2">
        <v>0</v>
      </c>
      <c r="S26" s="2">
        <v>0</v>
      </c>
      <c r="T26" s="2">
        <v>0</v>
      </c>
      <c r="U26" s="2">
        <v>2</v>
      </c>
      <c r="V26" s="2">
        <v>0</v>
      </c>
      <c r="W26" s="2">
        <v>101400</v>
      </c>
      <c r="X26" s="2">
        <v>101410</v>
      </c>
      <c r="Y26" s="2">
        <v>101420</v>
      </c>
      <c r="Z26" s="2" t="b">
        <v>1</v>
      </c>
      <c r="AA26" s="2" t="b">
        <v>0</v>
      </c>
      <c r="AB26" s="2" t="b">
        <v>0</v>
      </c>
      <c r="AC26" s="2" t="s">
        <v>142</v>
      </c>
      <c r="AD26" s="2" t="s">
        <v>143</v>
      </c>
      <c r="AE26" s="2" t="s">
        <v>144</v>
      </c>
    </row>
    <row r="27" spans="1:31" ht="15" x14ac:dyDescent="0.25">
      <c r="A27">
        <v>26</v>
      </c>
      <c r="B27" s="2">
        <v>125</v>
      </c>
      <c r="C27" s="2" t="s">
        <v>145</v>
      </c>
      <c r="D27" s="2" t="s">
        <v>146</v>
      </c>
      <c r="E27" s="2">
        <v>2120</v>
      </c>
      <c r="F27" s="2">
        <v>-1</v>
      </c>
      <c r="G27" s="2">
        <v>0</v>
      </c>
      <c r="H27" s="2">
        <v>0</v>
      </c>
      <c r="I27" s="2">
        <v>0</v>
      </c>
      <c r="J27" s="2">
        <v>100</v>
      </c>
      <c r="K27" s="2">
        <v>31</v>
      </c>
      <c r="L27" s="2">
        <v>0</v>
      </c>
      <c r="M27" s="2">
        <v>0</v>
      </c>
      <c r="N27" s="2">
        <v>4025</v>
      </c>
      <c r="O27" s="2">
        <v>-1</v>
      </c>
      <c r="P27" s="2">
        <v>-1</v>
      </c>
      <c r="Q27" s="2">
        <v>-1</v>
      </c>
      <c r="R27" s="2">
        <v>0</v>
      </c>
      <c r="S27" s="2">
        <v>0</v>
      </c>
      <c r="T27" s="2">
        <v>0</v>
      </c>
      <c r="U27" s="2">
        <v>2</v>
      </c>
      <c r="V27" s="2">
        <v>0</v>
      </c>
      <c r="W27" s="2">
        <v>101400</v>
      </c>
      <c r="X27" s="2">
        <v>101410</v>
      </c>
      <c r="Y27" s="2">
        <v>101420</v>
      </c>
      <c r="Z27" s="2" t="b">
        <v>1</v>
      </c>
      <c r="AA27" s="2" t="b">
        <v>0</v>
      </c>
      <c r="AB27" s="2" t="b">
        <v>0</v>
      </c>
      <c r="AC27" s="2" t="s">
        <v>147</v>
      </c>
      <c r="AD27" s="2" t="s">
        <v>148</v>
      </c>
      <c r="AE27" s="2" t="s">
        <v>149</v>
      </c>
    </row>
    <row r="28" spans="1:31" ht="15" x14ac:dyDescent="0.25">
      <c r="A28">
        <v>27</v>
      </c>
      <c r="B28" s="2">
        <v>126</v>
      </c>
      <c r="C28" s="2" t="s">
        <v>150</v>
      </c>
      <c r="D28" s="2" t="s">
        <v>151</v>
      </c>
      <c r="E28" s="2">
        <v>2130</v>
      </c>
      <c r="F28" s="2">
        <v>-1</v>
      </c>
      <c r="G28" s="2">
        <v>0</v>
      </c>
      <c r="H28" s="2">
        <v>0</v>
      </c>
      <c r="I28" s="2">
        <v>0</v>
      </c>
      <c r="J28" s="2">
        <v>100</v>
      </c>
      <c r="K28" s="2">
        <v>14</v>
      </c>
      <c r="L28" s="2">
        <v>0</v>
      </c>
      <c r="M28" s="2">
        <v>0</v>
      </c>
      <c r="N28" s="2">
        <v>4026</v>
      </c>
      <c r="O28" s="2">
        <v>-1</v>
      </c>
      <c r="P28" s="2">
        <v>-1</v>
      </c>
      <c r="Q28" s="2">
        <v>-1</v>
      </c>
      <c r="R28" s="2">
        <v>0</v>
      </c>
      <c r="S28" s="2">
        <v>0</v>
      </c>
      <c r="T28" s="2">
        <v>0</v>
      </c>
      <c r="U28" s="2">
        <v>2</v>
      </c>
      <c r="V28" s="2">
        <v>0</v>
      </c>
      <c r="W28" s="2">
        <v>101400</v>
      </c>
      <c r="X28" s="2">
        <v>101410</v>
      </c>
      <c r="Y28" s="2">
        <v>101420</v>
      </c>
      <c r="Z28" s="2" t="b">
        <v>1</v>
      </c>
      <c r="AA28" s="2" t="b">
        <v>0</v>
      </c>
      <c r="AB28" s="2" t="b">
        <v>0</v>
      </c>
      <c r="AC28" s="2" t="s">
        <v>152</v>
      </c>
      <c r="AD28" s="2" t="s">
        <v>153</v>
      </c>
      <c r="AE28" s="2" t="s">
        <v>154</v>
      </c>
    </row>
    <row r="29" spans="1:31" ht="15" x14ac:dyDescent="0.25">
      <c r="A29">
        <v>28</v>
      </c>
      <c r="B29" s="2">
        <v>127</v>
      </c>
      <c r="C29" s="2" t="s">
        <v>155</v>
      </c>
      <c r="D29" s="2" t="s">
        <v>156</v>
      </c>
      <c r="E29" s="2">
        <v>2131</v>
      </c>
      <c r="F29" s="2">
        <v>-1</v>
      </c>
      <c r="G29" s="2">
        <v>0</v>
      </c>
      <c r="H29" s="2">
        <v>0</v>
      </c>
      <c r="I29" s="2">
        <v>0</v>
      </c>
      <c r="J29" s="2">
        <v>100</v>
      </c>
      <c r="K29" s="2">
        <v>15</v>
      </c>
      <c r="L29" s="2">
        <v>0</v>
      </c>
      <c r="M29" s="2">
        <v>0</v>
      </c>
      <c r="N29" s="2">
        <v>4027</v>
      </c>
      <c r="O29" s="2">
        <v>-1</v>
      </c>
      <c r="P29" s="2">
        <v>-1</v>
      </c>
      <c r="Q29" s="2">
        <v>-1</v>
      </c>
      <c r="R29" s="2">
        <v>0</v>
      </c>
      <c r="S29" s="2">
        <v>0</v>
      </c>
      <c r="T29" s="2">
        <v>0</v>
      </c>
      <c r="U29" s="2">
        <v>2</v>
      </c>
      <c r="V29" s="2">
        <v>0</v>
      </c>
      <c r="W29" s="2">
        <v>101400</v>
      </c>
      <c r="X29" s="2">
        <v>101410</v>
      </c>
      <c r="Y29" s="2">
        <v>101420</v>
      </c>
      <c r="Z29" s="2" t="b">
        <v>1</v>
      </c>
      <c r="AA29" s="2" t="b">
        <v>0</v>
      </c>
      <c r="AB29" s="2" t="b">
        <v>0</v>
      </c>
      <c r="AC29" s="2" t="s">
        <v>157</v>
      </c>
      <c r="AD29" s="2" t="s">
        <v>158</v>
      </c>
      <c r="AE29" s="2" t="s">
        <v>159</v>
      </c>
    </row>
    <row r="30" spans="1:31" ht="15" x14ac:dyDescent="0.25">
      <c r="A30">
        <v>29</v>
      </c>
      <c r="B30" s="2">
        <v>128</v>
      </c>
      <c r="C30" s="2" t="s">
        <v>160</v>
      </c>
      <c r="D30" s="2" t="s">
        <v>161</v>
      </c>
      <c r="E30" s="2">
        <v>2121</v>
      </c>
      <c r="F30" s="2">
        <v>-1</v>
      </c>
      <c r="G30" s="2">
        <v>0</v>
      </c>
      <c r="H30" s="2">
        <v>0</v>
      </c>
      <c r="I30" s="2">
        <v>0</v>
      </c>
      <c r="J30" s="2">
        <v>100</v>
      </c>
      <c r="K30" s="2">
        <v>30</v>
      </c>
      <c r="L30" s="2">
        <v>0</v>
      </c>
      <c r="M30" s="2">
        <v>0</v>
      </c>
      <c r="N30" s="2">
        <v>4028</v>
      </c>
      <c r="O30" s="2">
        <v>-1</v>
      </c>
      <c r="P30" s="2">
        <v>-1</v>
      </c>
      <c r="Q30" s="2">
        <v>-1</v>
      </c>
      <c r="R30" s="2">
        <v>0</v>
      </c>
      <c r="S30" s="2">
        <v>0</v>
      </c>
      <c r="T30" s="2">
        <v>0</v>
      </c>
      <c r="U30" s="2">
        <v>2</v>
      </c>
      <c r="V30" s="2">
        <v>0</v>
      </c>
      <c r="W30" s="2">
        <v>101400</v>
      </c>
      <c r="X30" s="2">
        <v>101410</v>
      </c>
      <c r="Y30" s="2">
        <v>101420</v>
      </c>
      <c r="Z30" s="2" t="b">
        <v>1</v>
      </c>
      <c r="AA30" s="2" t="b">
        <v>0</v>
      </c>
      <c r="AB30" s="2" t="b">
        <v>0</v>
      </c>
      <c r="AC30" s="2" t="s">
        <v>162</v>
      </c>
      <c r="AD30" s="2" t="s">
        <v>163</v>
      </c>
      <c r="AE30" s="2" t="s">
        <v>164</v>
      </c>
    </row>
    <row r="31" spans="1:31" ht="15" x14ac:dyDescent="0.25">
      <c r="A31">
        <v>30</v>
      </c>
      <c r="B31" s="2">
        <v>130</v>
      </c>
      <c r="C31" s="2" t="s">
        <v>165</v>
      </c>
      <c r="D31" s="2" t="s">
        <v>166</v>
      </c>
      <c r="E31" s="2">
        <v>2140</v>
      </c>
      <c r="F31" s="2">
        <v>-1</v>
      </c>
      <c r="G31" s="2">
        <v>0</v>
      </c>
      <c r="H31" s="2">
        <v>0</v>
      </c>
      <c r="I31" s="2">
        <v>0</v>
      </c>
      <c r="J31" s="2">
        <v>1000</v>
      </c>
      <c r="K31" s="2">
        <v>24</v>
      </c>
      <c r="L31" s="2">
        <v>0</v>
      </c>
      <c r="M31" s="2">
        <v>0</v>
      </c>
      <c r="N31" s="2">
        <v>4030</v>
      </c>
      <c r="O31" s="2">
        <v>-1</v>
      </c>
      <c r="P31" s="2">
        <v>-1</v>
      </c>
      <c r="Q31" s="2">
        <v>-1</v>
      </c>
      <c r="R31" s="2">
        <v>0</v>
      </c>
      <c r="S31" s="2">
        <v>0</v>
      </c>
      <c r="T31" s="2">
        <v>0</v>
      </c>
      <c r="U31" s="2">
        <v>2</v>
      </c>
      <c r="V31" s="2">
        <v>0</v>
      </c>
      <c r="W31" s="2">
        <v>101400</v>
      </c>
      <c r="X31" s="2">
        <v>101410</v>
      </c>
      <c r="Y31" s="2">
        <v>101420</v>
      </c>
      <c r="Z31" s="2" t="b">
        <v>1</v>
      </c>
      <c r="AA31" s="2" t="b">
        <v>0</v>
      </c>
      <c r="AB31" s="2" t="b">
        <v>0</v>
      </c>
      <c r="AC31" s="2" t="s">
        <v>167</v>
      </c>
      <c r="AD31" s="2" t="s">
        <v>168</v>
      </c>
      <c r="AE31" s="2" t="s">
        <v>169</v>
      </c>
    </row>
    <row r="32" spans="1:31" ht="15" x14ac:dyDescent="0.25">
      <c r="A32">
        <v>31</v>
      </c>
      <c r="B32" s="2">
        <v>137</v>
      </c>
      <c r="C32" s="2" t="s">
        <v>170</v>
      </c>
      <c r="D32" s="2" t="s">
        <v>171</v>
      </c>
      <c r="E32" s="2">
        <v>2190</v>
      </c>
      <c r="F32" s="2">
        <v>-1</v>
      </c>
      <c r="G32" s="2">
        <v>0</v>
      </c>
      <c r="H32" s="2">
        <v>0</v>
      </c>
      <c r="I32" s="2">
        <v>0</v>
      </c>
      <c r="J32" s="2">
        <v>1000</v>
      </c>
      <c r="K32" s="2">
        <v>36</v>
      </c>
      <c r="L32" s="2">
        <v>0</v>
      </c>
      <c r="M32" s="2">
        <v>0</v>
      </c>
      <c r="N32" s="2">
        <v>4037</v>
      </c>
      <c r="O32" s="2">
        <v>-1</v>
      </c>
      <c r="P32" s="2">
        <v>-1</v>
      </c>
      <c r="Q32" s="2">
        <v>-1</v>
      </c>
      <c r="R32" s="2">
        <v>0</v>
      </c>
      <c r="S32" s="2">
        <v>0</v>
      </c>
      <c r="T32" s="2">
        <v>0</v>
      </c>
      <c r="U32" s="2">
        <v>2</v>
      </c>
      <c r="V32" s="2">
        <v>0</v>
      </c>
      <c r="W32" s="2">
        <v>101400</v>
      </c>
      <c r="X32" s="2">
        <v>101410</v>
      </c>
      <c r="Y32" s="2">
        <v>101420</v>
      </c>
      <c r="Z32" s="2" t="b">
        <v>1</v>
      </c>
      <c r="AA32" s="2" t="b">
        <v>0</v>
      </c>
      <c r="AB32" s="2" t="b">
        <v>0</v>
      </c>
      <c r="AC32" s="2" t="s">
        <v>172</v>
      </c>
      <c r="AD32" s="2" t="s">
        <v>173</v>
      </c>
      <c r="AE32" s="2" t="s">
        <v>174</v>
      </c>
    </row>
    <row r="33" spans="1:31" ht="15" x14ac:dyDescent="0.25">
      <c r="A33">
        <v>32</v>
      </c>
      <c r="B33" s="2">
        <v>138</v>
      </c>
      <c r="C33" s="2" t="s">
        <v>175</v>
      </c>
      <c r="D33" s="2" t="s">
        <v>176</v>
      </c>
      <c r="E33" s="2">
        <v>2200</v>
      </c>
      <c r="F33" s="2">
        <v>-1</v>
      </c>
      <c r="G33" s="2">
        <v>0</v>
      </c>
      <c r="H33" s="2">
        <v>0</v>
      </c>
      <c r="I33" s="2">
        <v>0</v>
      </c>
      <c r="J33" s="2">
        <v>-1</v>
      </c>
      <c r="K33" s="2">
        <v>34</v>
      </c>
      <c r="L33" s="2">
        <v>0</v>
      </c>
      <c r="M33" s="2">
        <v>0</v>
      </c>
      <c r="N33" s="2">
        <v>4002</v>
      </c>
      <c r="O33" s="2">
        <v>-1</v>
      </c>
      <c r="P33" s="2">
        <v>-1</v>
      </c>
      <c r="Q33" s="2">
        <v>32</v>
      </c>
      <c r="R33" s="2">
        <v>0</v>
      </c>
      <c r="S33" s="2">
        <v>0</v>
      </c>
      <c r="T33" s="2">
        <v>0</v>
      </c>
      <c r="U33" s="2">
        <v>2</v>
      </c>
      <c r="V33" s="2">
        <v>0</v>
      </c>
      <c r="W33" s="2">
        <v>101400</v>
      </c>
      <c r="X33" s="2">
        <v>101410</v>
      </c>
      <c r="Y33" s="2">
        <v>101420</v>
      </c>
      <c r="Z33" s="2" t="b">
        <v>1</v>
      </c>
      <c r="AA33" s="2" t="b">
        <v>0</v>
      </c>
      <c r="AB33" s="2" t="b">
        <v>0</v>
      </c>
      <c r="AC33" s="2" t="s">
        <v>177</v>
      </c>
      <c r="AD33" s="2" t="s">
        <v>178</v>
      </c>
      <c r="AE33" s="2" t="s">
        <v>179</v>
      </c>
    </row>
    <row r="34" spans="1:31" ht="15" x14ac:dyDescent="0.25">
      <c r="A34">
        <v>33</v>
      </c>
      <c r="B34" s="2">
        <v>139</v>
      </c>
      <c r="C34" s="2" t="s">
        <v>180</v>
      </c>
      <c r="D34" s="2" t="s">
        <v>181</v>
      </c>
      <c r="E34" s="2">
        <v>2210</v>
      </c>
      <c r="F34" s="2">
        <v>-1</v>
      </c>
      <c r="G34" s="2">
        <v>0</v>
      </c>
      <c r="H34" s="2">
        <v>0</v>
      </c>
      <c r="I34" s="2">
        <v>0</v>
      </c>
      <c r="J34" s="2">
        <v>-1</v>
      </c>
      <c r="K34" s="2">
        <v>35</v>
      </c>
      <c r="L34" s="2">
        <v>0</v>
      </c>
      <c r="M34" s="2">
        <v>0</v>
      </c>
      <c r="N34" s="2">
        <v>4003</v>
      </c>
      <c r="O34" s="2">
        <v>-1</v>
      </c>
      <c r="P34" s="2">
        <v>-1</v>
      </c>
      <c r="Q34" s="2">
        <v>-1</v>
      </c>
      <c r="R34" s="2">
        <v>0</v>
      </c>
      <c r="S34" s="2">
        <v>0</v>
      </c>
      <c r="T34" s="2">
        <v>0</v>
      </c>
      <c r="U34" s="2">
        <v>2</v>
      </c>
      <c r="V34" s="2">
        <v>0</v>
      </c>
      <c r="W34" s="2">
        <v>101400</v>
      </c>
      <c r="X34" s="2">
        <v>101410</v>
      </c>
      <c r="Y34" s="2">
        <v>101420</v>
      </c>
      <c r="Z34" s="2" t="b">
        <v>1</v>
      </c>
      <c r="AA34" s="2" t="b">
        <v>0</v>
      </c>
      <c r="AB34" s="2" t="b">
        <v>0</v>
      </c>
      <c r="AC34" s="2" t="s">
        <v>182</v>
      </c>
      <c r="AD34" s="2" t="s">
        <v>183</v>
      </c>
      <c r="AE34" s="2" t="s">
        <v>184</v>
      </c>
    </row>
    <row r="35" spans="1:31" ht="15" x14ac:dyDescent="0.25">
      <c r="A35">
        <v>34</v>
      </c>
      <c r="B35" s="2">
        <v>141</v>
      </c>
      <c r="C35" s="2" t="s">
        <v>185</v>
      </c>
      <c r="D35" s="2" t="s">
        <v>186</v>
      </c>
      <c r="E35" s="2">
        <v>2230</v>
      </c>
      <c r="F35" s="2">
        <v>-1</v>
      </c>
      <c r="G35" s="2">
        <v>0</v>
      </c>
      <c r="H35" s="2">
        <v>0</v>
      </c>
      <c r="I35" s="2">
        <v>0</v>
      </c>
      <c r="J35" s="2">
        <v>100</v>
      </c>
      <c r="K35" s="2">
        <v>17</v>
      </c>
      <c r="L35" s="2">
        <v>0</v>
      </c>
      <c r="M35" s="2">
        <v>0</v>
      </c>
      <c r="N35" s="2">
        <v>4039</v>
      </c>
      <c r="O35" s="2">
        <v>-1</v>
      </c>
      <c r="P35" s="2">
        <v>-1</v>
      </c>
      <c r="Q35" s="2">
        <v>-1</v>
      </c>
      <c r="R35" s="2">
        <v>0</v>
      </c>
      <c r="S35" s="2">
        <v>0</v>
      </c>
      <c r="T35" s="2">
        <v>0</v>
      </c>
      <c r="U35" s="2">
        <v>2</v>
      </c>
      <c r="V35" s="2">
        <v>0</v>
      </c>
      <c r="W35" s="2">
        <v>101400</v>
      </c>
      <c r="X35" s="2">
        <v>101410</v>
      </c>
      <c r="Y35" s="2">
        <v>101420</v>
      </c>
      <c r="Z35" s="2" t="b">
        <v>1</v>
      </c>
      <c r="AA35" s="2" t="b">
        <v>0</v>
      </c>
      <c r="AB35" s="2" t="b">
        <v>0</v>
      </c>
      <c r="AC35" s="2" t="s">
        <v>187</v>
      </c>
      <c r="AD35" s="2" t="s">
        <v>188</v>
      </c>
      <c r="AE35" s="2" t="s">
        <v>189</v>
      </c>
    </row>
    <row r="36" spans="1:31" ht="15" x14ac:dyDescent="0.25">
      <c r="A36">
        <v>35</v>
      </c>
      <c r="B36" s="2">
        <v>142</v>
      </c>
      <c r="C36" s="2" t="s">
        <v>190</v>
      </c>
      <c r="D36" s="2" t="s">
        <v>191</v>
      </c>
      <c r="E36" s="2">
        <v>2240</v>
      </c>
      <c r="F36" s="2">
        <v>-1</v>
      </c>
      <c r="G36" s="2">
        <v>0</v>
      </c>
      <c r="H36" s="2">
        <v>0</v>
      </c>
      <c r="I36" s="2">
        <v>0</v>
      </c>
      <c r="J36" s="2">
        <v>500</v>
      </c>
      <c r="K36" s="2">
        <v>40</v>
      </c>
      <c r="L36" s="2">
        <v>0</v>
      </c>
      <c r="M36" s="2">
        <v>0</v>
      </c>
      <c r="N36" s="2">
        <v>4018</v>
      </c>
      <c r="O36" s="2">
        <v>-1</v>
      </c>
      <c r="P36" s="2">
        <v>-1</v>
      </c>
      <c r="Q36" s="2">
        <v>-1</v>
      </c>
      <c r="R36" s="2">
        <v>0</v>
      </c>
      <c r="S36" s="2">
        <v>0</v>
      </c>
      <c r="T36" s="2">
        <v>0</v>
      </c>
      <c r="U36" s="2">
        <v>2</v>
      </c>
      <c r="V36" s="2">
        <v>0</v>
      </c>
      <c r="W36" s="2">
        <v>101400</v>
      </c>
      <c r="X36" s="2">
        <v>101410</v>
      </c>
      <c r="Y36" s="2">
        <v>101420</v>
      </c>
      <c r="Z36" s="2" t="b">
        <v>1</v>
      </c>
      <c r="AA36" s="2" t="b">
        <v>0</v>
      </c>
      <c r="AB36" s="2" t="b">
        <v>0</v>
      </c>
      <c r="AC36" s="2" t="s">
        <v>192</v>
      </c>
      <c r="AD36" s="2" t="s">
        <v>193</v>
      </c>
      <c r="AE36" s="2" t="s">
        <v>194</v>
      </c>
    </row>
    <row r="37" spans="1:31" ht="15" x14ac:dyDescent="0.25">
      <c r="A37">
        <v>36</v>
      </c>
      <c r="B37" s="2">
        <v>144</v>
      </c>
      <c r="C37" s="2" t="s">
        <v>200</v>
      </c>
      <c r="D37" s="2" t="s">
        <v>201</v>
      </c>
      <c r="E37" s="2">
        <v>2260</v>
      </c>
      <c r="F37" s="2">
        <v>-1</v>
      </c>
      <c r="G37" s="2">
        <v>0</v>
      </c>
      <c r="H37" s="2">
        <v>0</v>
      </c>
      <c r="I37" s="2">
        <v>0</v>
      </c>
      <c r="J37" s="2">
        <v>100</v>
      </c>
      <c r="K37" s="2">
        <v>25</v>
      </c>
      <c r="L37" s="2">
        <v>0</v>
      </c>
      <c r="M37" s="2">
        <v>0</v>
      </c>
      <c r="N37" s="2">
        <v>4031</v>
      </c>
      <c r="O37" s="2">
        <v>-1</v>
      </c>
      <c r="P37" s="2">
        <v>-1</v>
      </c>
      <c r="Q37" s="2">
        <v>-1</v>
      </c>
      <c r="R37" s="2">
        <v>0</v>
      </c>
      <c r="S37" s="2">
        <v>0</v>
      </c>
      <c r="T37" s="2">
        <v>0</v>
      </c>
      <c r="U37" s="2">
        <v>2</v>
      </c>
      <c r="V37" s="2">
        <v>0</v>
      </c>
      <c r="W37" s="2">
        <v>101400</v>
      </c>
      <c r="X37" s="2">
        <v>101410</v>
      </c>
      <c r="Y37" s="2">
        <v>101420</v>
      </c>
      <c r="Z37" s="2" t="b">
        <v>1</v>
      </c>
      <c r="AA37" s="2" t="b">
        <v>0</v>
      </c>
      <c r="AB37" s="2" t="b">
        <v>0</v>
      </c>
      <c r="AC37" s="2" t="s">
        <v>202</v>
      </c>
      <c r="AD37" s="2" t="s">
        <v>203</v>
      </c>
      <c r="AE37" s="2" t="s">
        <v>204</v>
      </c>
    </row>
    <row r="38" spans="1:31" ht="15" x14ac:dyDescent="0.25">
      <c r="A38">
        <v>37</v>
      </c>
      <c r="B38" s="2">
        <v>145</v>
      </c>
      <c r="C38" s="2" t="s">
        <v>205</v>
      </c>
      <c r="D38" s="2" t="s">
        <v>206</v>
      </c>
      <c r="E38" s="2">
        <v>2270</v>
      </c>
      <c r="F38" s="2">
        <v>-1</v>
      </c>
      <c r="G38" s="2">
        <v>0</v>
      </c>
      <c r="H38" s="2">
        <v>0</v>
      </c>
      <c r="I38" s="2">
        <v>0</v>
      </c>
      <c r="J38" s="2">
        <v>100</v>
      </c>
      <c r="K38" s="2">
        <v>29</v>
      </c>
      <c r="L38" s="2">
        <v>0</v>
      </c>
      <c r="M38" s="2">
        <v>0</v>
      </c>
      <c r="N38" s="2">
        <v>4032</v>
      </c>
      <c r="O38" s="2">
        <v>-1</v>
      </c>
      <c r="P38" s="2">
        <v>-1</v>
      </c>
      <c r="Q38" s="2">
        <v>-1</v>
      </c>
      <c r="R38" s="2">
        <v>0</v>
      </c>
      <c r="S38" s="2">
        <v>0</v>
      </c>
      <c r="T38" s="2">
        <v>0</v>
      </c>
      <c r="U38" s="2">
        <v>2</v>
      </c>
      <c r="V38" s="2">
        <v>0</v>
      </c>
      <c r="W38" s="2">
        <v>101400</v>
      </c>
      <c r="X38" s="2">
        <v>101410</v>
      </c>
      <c r="Y38" s="2">
        <v>101420</v>
      </c>
      <c r="Z38" s="2" t="b">
        <v>1</v>
      </c>
      <c r="AA38" s="2" t="b">
        <v>0</v>
      </c>
      <c r="AB38" s="2" t="b">
        <v>0</v>
      </c>
      <c r="AC38" s="2" t="s">
        <v>207</v>
      </c>
      <c r="AD38" s="2" t="s">
        <v>208</v>
      </c>
      <c r="AE38" s="2" t="s">
        <v>209</v>
      </c>
    </row>
    <row r="39" spans="1:31" ht="15" x14ac:dyDescent="0.25">
      <c r="A39">
        <v>38</v>
      </c>
      <c r="B39" s="2">
        <v>146</v>
      </c>
      <c r="C39" s="2" t="s">
        <v>210</v>
      </c>
      <c r="D39" s="2" t="s">
        <v>211</v>
      </c>
      <c r="E39" s="2">
        <v>2090</v>
      </c>
      <c r="F39" s="2">
        <v>-1</v>
      </c>
      <c r="G39" s="2">
        <v>0</v>
      </c>
      <c r="H39" s="2">
        <v>0</v>
      </c>
      <c r="I39" s="2">
        <v>0</v>
      </c>
      <c r="J39" s="2">
        <v>50</v>
      </c>
      <c r="K39" s="2">
        <v>26</v>
      </c>
      <c r="L39" s="2">
        <v>0</v>
      </c>
      <c r="M39" s="2">
        <v>0</v>
      </c>
      <c r="N39" s="2">
        <v>4035</v>
      </c>
      <c r="O39" s="2">
        <v>-1</v>
      </c>
      <c r="P39" s="2">
        <v>-1</v>
      </c>
      <c r="Q39" s="2">
        <v>-1</v>
      </c>
      <c r="R39" s="2">
        <v>0</v>
      </c>
      <c r="S39" s="2">
        <v>0</v>
      </c>
      <c r="T39" s="2">
        <v>0</v>
      </c>
      <c r="U39" s="2">
        <v>2</v>
      </c>
      <c r="V39" s="2">
        <v>0</v>
      </c>
      <c r="W39" s="2">
        <v>101400</v>
      </c>
      <c r="X39" s="2">
        <v>101410</v>
      </c>
      <c r="Y39" s="2">
        <v>101420</v>
      </c>
      <c r="Z39" s="2" t="b">
        <v>1</v>
      </c>
      <c r="AA39" s="2" t="b">
        <v>0</v>
      </c>
      <c r="AB39" s="2" t="b">
        <v>0</v>
      </c>
      <c r="AC39" s="2" t="s">
        <v>212</v>
      </c>
      <c r="AD39" s="2" t="s">
        <v>213</v>
      </c>
      <c r="AE39" s="2" t="s">
        <v>214</v>
      </c>
    </row>
    <row r="40" spans="1:31" ht="15" x14ac:dyDescent="0.25">
      <c r="A40">
        <v>39</v>
      </c>
      <c r="B40" s="2">
        <v>147</v>
      </c>
      <c r="C40" s="2" t="s">
        <v>215</v>
      </c>
      <c r="D40" s="2" t="s">
        <v>216</v>
      </c>
      <c r="E40" s="2">
        <v>2290</v>
      </c>
      <c r="F40" s="2">
        <v>-1</v>
      </c>
      <c r="G40" s="2">
        <v>0</v>
      </c>
      <c r="H40" s="2">
        <v>0</v>
      </c>
      <c r="I40" s="2">
        <v>0</v>
      </c>
      <c r="J40" s="2">
        <v>100</v>
      </c>
      <c r="K40" s="2">
        <v>13</v>
      </c>
      <c r="L40" s="2">
        <v>0</v>
      </c>
      <c r="M40" s="2">
        <v>0</v>
      </c>
      <c r="N40" s="2">
        <v>4036</v>
      </c>
      <c r="O40" s="2">
        <v>-1</v>
      </c>
      <c r="P40" s="2">
        <v>-1</v>
      </c>
      <c r="Q40" s="2">
        <v>-1</v>
      </c>
      <c r="R40" s="2">
        <v>0</v>
      </c>
      <c r="S40" s="2">
        <v>0</v>
      </c>
      <c r="T40" s="2">
        <v>0</v>
      </c>
      <c r="U40" s="2">
        <v>2</v>
      </c>
      <c r="V40" s="2">
        <v>0</v>
      </c>
      <c r="W40" s="2">
        <v>101400</v>
      </c>
      <c r="X40" s="2">
        <v>101410</v>
      </c>
      <c r="Y40" s="2">
        <v>101420</v>
      </c>
      <c r="Z40" s="2" t="b">
        <v>1</v>
      </c>
      <c r="AA40" s="2" t="b">
        <v>0</v>
      </c>
      <c r="AB40" s="2" t="b">
        <v>0</v>
      </c>
      <c r="AC40" s="2" t="s">
        <v>217</v>
      </c>
      <c r="AD40" s="2" t="s">
        <v>218</v>
      </c>
      <c r="AE40" s="2" t="s">
        <v>219</v>
      </c>
    </row>
    <row r="41" spans="1:31" ht="15" x14ac:dyDescent="0.25">
      <c r="A41">
        <v>40</v>
      </c>
      <c r="B41" s="2">
        <v>148</v>
      </c>
      <c r="C41" s="2" t="s">
        <v>220</v>
      </c>
      <c r="D41" s="2" t="s">
        <v>221</v>
      </c>
      <c r="E41" s="2">
        <v>2300</v>
      </c>
      <c r="F41" s="2">
        <v>-1</v>
      </c>
      <c r="G41" s="2">
        <v>0</v>
      </c>
      <c r="H41" s="2">
        <v>0</v>
      </c>
      <c r="I41" s="2">
        <v>0</v>
      </c>
      <c r="J41" s="2">
        <v>1000</v>
      </c>
      <c r="K41" s="2">
        <v>22</v>
      </c>
      <c r="L41" s="2">
        <v>0</v>
      </c>
      <c r="M41" s="2">
        <v>0</v>
      </c>
      <c r="N41" s="2">
        <v>4011</v>
      </c>
      <c r="O41" s="2">
        <v>-1</v>
      </c>
      <c r="P41" s="2">
        <v>-1</v>
      </c>
      <c r="Q41" s="2">
        <v>-1</v>
      </c>
      <c r="R41" s="2">
        <v>0</v>
      </c>
      <c r="S41" s="2">
        <v>0</v>
      </c>
      <c r="T41" s="2">
        <v>0</v>
      </c>
      <c r="U41" s="2">
        <v>2</v>
      </c>
      <c r="V41" s="2">
        <v>0</v>
      </c>
      <c r="W41" s="2">
        <v>101400</v>
      </c>
      <c r="X41" s="2">
        <v>101410</v>
      </c>
      <c r="Y41" s="2">
        <v>101420</v>
      </c>
      <c r="Z41" s="2" t="b">
        <v>1</v>
      </c>
      <c r="AA41" s="2" t="b">
        <v>0</v>
      </c>
      <c r="AB41" s="2" t="b">
        <v>0</v>
      </c>
      <c r="AC41" s="2" t="s">
        <v>222</v>
      </c>
      <c r="AD41" s="2" t="s">
        <v>223</v>
      </c>
      <c r="AE41" s="2" t="s">
        <v>224</v>
      </c>
    </row>
    <row r="42" spans="1:31" ht="15" x14ac:dyDescent="0.25">
      <c r="A42">
        <v>41</v>
      </c>
      <c r="B42" s="2">
        <v>149</v>
      </c>
      <c r="C42" s="2" t="s">
        <v>225</v>
      </c>
      <c r="D42" s="2" t="s">
        <v>96</v>
      </c>
      <c r="E42" s="2">
        <v>2310</v>
      </c>
      <c r="F42" s="2">
        <v>-1</v>
      </c>
      <c r="G42" s="2">
        <v>0</v>
      </c>
      <c r="H42" s="2">
        <v>0</v>
      </c>
      <c r="I42" s="2">
        <v>0</v>
      </c>
      <c r="J42" s="2">
        <v>1000</v>
      </c>
      <c r="K42" s="2">
        <v>21</v>
      </c>
      <c r="L42" s="2">
        <v>0</v>
      </c>
      <c r="M42" s="2">
        <v>0</v>
      </c>
      <c r="N42" s="2">
        <v>4038</v>
      </c>
      <c r="O42" s="2">
        <v>-1</v>
      </c>
      <c r="P42" s="2">
        <v>-1</v>
      </c>
      <c r="Q42" s="2">
        <v>-1</v>
      </c>
      <c r="R42" s="2">
        <v>0</v>
      </c>
      <c r="S42" s="2">
        <v>0</v>
      </c>
      <c r="T42" s="2">
        <v>0</v>
      </c>
      <c r="U42" s="2">
        <v>2</v>
      </c>
      <c r="V42" s="2">
        <v>0</v>
      </c>
      <c r="W42" s="2">
        <v>101400</v>
      </c>
      <c r="X42" s="2">
        <v>101410</v>
      </c>
      <c r="Y42" s="2">
        <v>101420</v>
      </c>
      <c r="Z42" s="2" t="b">
        <v>1</v>
      </c>
      <c r="AA42" s="2" t="b">
        <v>0</v>
      </c>
      <c r="AB42" s="2" t="b">
        <v>0</v>
      </c>
      <c r="AC42" s="2" t="s">
        <v>226</v>
      </c>
      <c r="AD42" s="2" t="s">
        <v>227</v>
      </c>
      <c r="AE42" s="2" t="s">
        <v>228</v>
      </c>
    </row>
    <row r="43" spans="1:31" ht="15" x14ac:dyDescent="0.25">
      <c r="A43">
        <v>42</v>
      </c>
      <c r="B43" s="2">
        <v>150</v>
      </c>
      <c r="C43" s="2" t="s">
        <v>229</v>
      </c>
      <c r="D43" s="2"/>
      <c r="E43" s="2">
        <v>2350</v>
      </c>
      <c r="F43" s="2">
        <v>-1</v>
      </c>
      <c r="G43" s="2">
        <v>0</v>
      </c>
      <c r="H43" s="2">
        <v>0</v>
      </c>
      <c r="I43" s="2">
        <v>0</v>
      </c>
      <c r="J43" s="2">
        <v>1000</v>
      </c>
      <c r="K43" s="2">
        <v>41</v>
      </c>
      <c r="L43" s="2">
        <v>0</v>
      </c>
      <c r="M43" s="2">
        <v>0</v>
      </c>
      <c r="N43" s="2">
        <v>4043</v>
      </c>
      <c r="O43" s="2">
        <v>-1</v>
      </c>
      <c r="P43" s="2">
        <v>-1</v>
      </c>
      <c r="Q43" s="2">
        <v>-1</v>
      </c>
      <c r="R43" s="2">
        <v>0</v>
      </c>
      <c r="S43" s="2">
        <v>0</v>
      </c>
      <c r="T43" s="2">
        <v>0</v>
      </c>
      <c r="U43" s="2">
        <v>2</v>
      </c>
      <c r="V43" s="2">
        <v>0</v>
      </c>
      <c r="W43" s="2">
        <v>101400</v>
      </c>
      <c r="X43" s="2">
        <v>101410</v>
      </c>
      <c r="Y43" s="2">
        <v>101420</v>
      </c>
      <c r="Z43" s="2" t="b">
        <v>1</v>
      </c>
      <c r="AA43" s="2" t="b">
        <v>0</v>
      </c>
      <c r="AB43" s="2" t="b">
        <v>0</v>
      </c>
      <c r="AC43" s="2" t="s">
        <v>230</v>
      </c>
      <c r="AD43" s="2" t="s">
        <v>231</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B50B-F723-46EB-8DD6-8C8531C5F118}">
  <sheetPr codeName="Sheet4">
    <tabColor rgb="FFFFFF00"/>
  </sheetPr>
  <dimension ref="A1:J11"/>
  <sheetViews>
    <sheetView workbookViewId="0">
      <selection activeCell="C34" sqref="C34"/>
    </sheetView>
  </sheetViews>
  <sheetFormatPr defaultColWidth="15.7109375" defaultRowHeight="12.75" x14ac:dyDescent="0.2"/>
  <cols>
    <col min="1" max="1" width="13.42578125" bestFit="1" customWidth="1"/>
    <col min="2" max="2" width="14.42578125" bestFit="1" customWidth="1"/>
    <col min="3" max="3" width="9" bestFit="1" customWidth="1"/>
    <col min="4" max="4" width="12.85546875" bestFit="1" customWidth="1"/>
    <col min="5" max="5" width="12.140625" bestFit="1" customWidth="1"/>
    <col min="6" max="6" width="10.28515625" bestFit="1" customWidth="1"/>
    <col min="7" max="7" width="10.7109375" bestFit="1" customWidth="1"/>
    <col min="8" max="9" width="12.5703125" bestFit="1" customWidth="1"/>
    <col min="10" max="10" width="7.42578125" bestFit="1" customWidth="1"/>
  </cols>
  <sheetData>
    <row r="1" spans="1:10" x14ac:dyDescent="0.2">
      <c r="A1" s="18" t="s">
        <v>957</v>
      </c>
      <c r="B1" s="18" t="s">
        <v>958</v>
      </c>
      <c r="C1" s="18" t="s">
        <v>959</v>
      </c>
      <c r="D1" s="18" t="s">
        <v>960</v>
      </c>
      <c r="E1" s="18" t="s">
        <v>961</v>
      </c>
      <c r="F1" s="18" t="s">
        <v>962</v>
      </c>
      <c r="G1" s="18" t="s">
        <v>963</v>
      </c>
      <c r="H1" s="18" t="s">
        <v>964</v>
      </c>
      <c r="I1" s="18" t="s">
        <v>965</v>
      </c>
      <c r="J1" s="18" t="s">
        <v>966</v>
      </c>
    </row>
    <row r="2" spans="1:10" x14ac:dyDescent="0.2">
      <c r="A2" s="5" t="s">
        <v>967</v>
      </c>
      <c r="B2" s="5">
        <v>4</v>
      </c>
      <c r="C2" s="5">
        <v>11</v>
      </c>
      <c r="D2" s="5">
        <v>8</v>
      </c>
      <c r="E2" s="5">
        <v>12</v>
      </c>
      <c r="F2" s="5">
        <v>13</v>
      </c>
      <c r="G2" s="5">
        <v>13</v>
      </c>
      <c r="H2" s="5">
        <v>11</v>
      </c>
      <c r="I2" s="5">
        <v>9</v>
      </c>
      <c r="J2" s="5">
        <v>9</v>
      </c>
    </row>
    <row r="3" spans="1:10" x14ac:dyDescent="0.2">
      <c r="A3" s="5" t="s">
        <v>237</v>
      </c>
      <c r="B3" s="5">
        <v>5</v>
      </c>
      <c r="C3" s="5">
        <v>14</v>
      </c>
      <c r="D3" s="5">
        <v>10</v>
      </c>
      <c r="E3" s="5">
        <v>10</v>
      </c>
      <c r="F3" s="5">
        <v>11</v>
      </c>
      <c r="G3" s="5">
        <v>11</v>
      </c>
      <c r="H3" s="5">
        <v>10</v>
      </c>
      <c r="I3" s="5">
        <v>9</v>
      </c>
      <c r="J3" s="5">
        <v>11</v>
      </c>
    </row>
    <row r="4" spans="1:10" x14ac:dyDescent="0.2">
      <c r="A4" s="5" t="s">
        <v>968</v>
      </c>
      <c r="B4" s="5">
        <v>3</v>
      </c>
      <c r="C4" s="5">
        <v>10</v>
      </c>
      <c r="D4" s="5">
        <v>11</v>
      </c>
      <c r="E4" s="5">
        <v>10</v>
      </c>
      <c r="F4" s="5">
        <v>10</v>
      </c>
      <c r="G4" s="5">
        <v>14</v>
      </c>
      <c r="H4" s="5">
        <v>12</v>
      </c>
      <c r="I4" s="5">
        <v>11</v>
      </c>
      <c r="J4" s="5">
        <v>8</v>
      </c>
    </row>
    <row r="5" spans="1:10" x14ac:dyDescent="0.2">
      <c r="A5" s="5" t="s">
        <v>979</v>
      </c>
      <c r="B5" s="5">
        <v>6</v>
      </c>
      <c r="C5" s="5">
        <v>10</v>
      </c>
      <c r="D5" s="5">
        <v>11</v>
      </c>
      <c r="E5" s="5">
        <v>9</v>
      </c>
      <c r="F5" s="5">
        <v>9</v>
      </c>
      <c r="G5" s="5">
        <v>15</v>
      </c>
      <c r="H5" s="5">
        <v>10</v>
      </c>
      <c r="I5" s="5">
        <v>12</v>
      </c>
      <c r="J5" s="5">
        <v>11</v>
      </c>
    </row>
    <row r="6" spans="1:10" x14ac:dyDescent="0.2">
      <c r="A6" s="5" t="s">
        <v>969</v>
      </c>
      <c r="B6" s="5">
        <v>4</v>
      </c>
      <c r="C6" s="5">
        <v>12</v>
      </c>
      <c r="D6" s="5">
        <v>8</v>
      </c>
      <c r="E6" s="5">
        <v>14</v>
      </c>
      <c r="F6" s="5">
        <v>14</v>
      </c>
      <c r="G6" s="5">
        <v>9</v>
      </c>
      <c r="H6" s="5">
        <v>11</v>
      </c>
      <c r="I6" s="5">
        <v>8</v>
      </c>
      <c r="J6" s="5">
        <v>10</v>
      </c>
    </row>
    <row r="7" spans="1:10" x14ac:dyDescent="0.2">
      <c r="A7" s="5" t="s">
        <v>970</v>
      </c>
      <c r="B7" s="5">
        <v>4</v>
      </c>
      <c r="C7" s="5">
        <v>11</v>
      </c>
      <c r="D7" s="5">
        <v>9</v>
      </c>
      <c r="E7" s="5">
        <v>11</v>
      </c>
      <c r="F7" s="5">
        <v>12</v>
      </c>
      <c r="G7" s="5">
        <v>14</v>
      </c>
      <c r="H7" s="5">
        <v>11</v>
      </c>
      <c r="I7" s="5">
        <v>9</v>
      </c>
      <c r="J7" s="5">
        <v>9</v>
      </c>
    </row>
    <row r="8" spans="1:10" x14ac:dyDescent="0.2">
      <c r="A8" s="5" t="s">
        <v>971</v>
      </c>
      <c r="B8" s="5">
        <v>5</v>
      </c>
      <c r="C8" s="5">
        <v>10</v>
      </c>
      <c r="D8" s="5">
        <v>15</v>
      </c>
      <c r="E8" s="5">
        <v>8</v>
      </c>
      <c r="F8" s="5">
        <v>9</v>
      </c>
      <c r="G8" s="5">
        <v>11</v>
      </c>
      <c r="H8" s="5">
        <v>8</v>
      </c>
      <c r="I8" s="5">
        <v>15</v>
      </c>
      <c r="J8" s="5">
        <v>8</v>
      </c>
    </row>
    <row r="9" spans="1:10" x14ac:dyDescent="0.2">
      <c r="A9" s="5" t="s">
        <v>972</v>
      </c>
      <c r="B9" s="5">
        <v>1</v>
      </c>
      <c r="C9" s="5">
        <v>10</v>
      </c>
      <c r="D9" s="5">
        <v>12</v>
      </c>
      <c r="E9" s="5">
        <v>11</v>
      </c>
      <c r="F9" s="5">
        <v>12</v>
      </c>
      <c r="G9" s="5">
        <v>9</v>
      </c>
      <c r="H9" s="5">
        <v>12</v>
      </c>
      <c r="I9" s="5">
        <v>10</v>
      </c>
      <c r="J9" s="5">
        <v>8</v>
      </c>
    </row>
    <row r="10" spans="1:10" x14ac:dyDescent="0.2">
      <c r="A10" s="5" t="s">
        <v>973</v>
      </c>
      <c r="B10" s="5">
        <v>2</v>
      </c>
      <c r="C10" s="5">
        <v>11</v>
      </c>
      <c r="D10" s="5">
        <v>11</v>
      </c>
      <c r="E10" s="5">
        <v>9</v>
      </c>
      <c r="F10" s="5">
        <v>12</v>
      </c>
      <c r="G10" s="5">
        <v>8</v>
      </c>
      <c r="H10" s="5">
        <v>11</v>
      </c>
      <c r="I10" s="5">
        <v>8</v>
      </c>
      <c r="J10" s="5">
        <v>14</v>
      </c>
    </row>
    <row r="11" spans="1:10" x14ac:dyDescent="0.2">
      <c r="A11" s="5" t="s">
        <v>974</v>
      </c>
      <c r="B11" s="5">
        <v>6</v>
      </c>
      <c r="C11" s="5">
        <v>11</v>
      </c>
      <c r="D11" s="5">
        <v>11</v>
      </c>
      <c r="E11" s="5">
        <v>11</v>
      </c>
      <c r="F11" s="5">
        <v>11</v>
      </c>
      <c r="G11" s="5">
        <v>11</v>
      </c>
      <c r="H11" s="5">
        <v>11</v>
      </c>
      <c r="I11" s="5">
        <v>11</v>
      </c>
      <c r="J11" s="5">
        <v>11</v>
      </c>
    </row>
  </sheetData>
  <autoFilter ref="A1:J1" xr:uid="{FA4BB50B-F723-46EB-8DD6-8C8531C5F1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Wep Upgrades</vt:lpstr>
      <vt:lpstr>Character Builder</vt:lpstr>
      <vt:lpstr>Notes</vt:lpstr>
      <vt:lpstr>Armor Helper</vt:lpstr>
      <vt:lpstr>Weapon Calculator</vt:lpstr>
      <vt:lpstr>Armors</vt:lpstr>
      <vt:lpstr>Accessories</vt:lpstr>
      <vt:lpstr>Classes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Sabatino Ognibene</dc:creator>
  <cp:lastModifiedBy>Sabatino Ognibene</cp:lastModifiedBy>
  <dcterms:created xsi:type="dcterms:W3CDTF">2025-03-28T19:18:32Z</dcterms:created>
  <dcterms:modified xsi:type="dcterms:W3CDTF">2025-04-21T19:59:46Z</dcterms:modified>
</cp:coreProperties>
</file>